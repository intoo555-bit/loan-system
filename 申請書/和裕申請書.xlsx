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bf32e69ea87f61e/Desktop/claude/申請書/"/>
    </mc:Choice>
  </mc:AlternateContent>
  <xr:revisionPtr revIDLastSave="9" documentId="11_EB65238C7FD21B1DD866D8AEF0479755739B4146" xr6:coauthVersionLast="47" xr6:coauthVersionMax="47" xr10:uidLastSave="{36882C59-3092-4866-AD11-B840E6BABB3B}"/>
  <bookViews>
    <workbookView xWindow="1275" yWindow="930" windowWidth="19350" windowHeight="13485" xr2:uid="{00000000-000D-0000-FFFF-FFFF00000000}"/>
  </bookViews>
  <sheets>
    <sheet name="和裕維力貸" sheetId="7" r:id="rId1"/>
  </sheets>
  <definedNames>
    <definedName name="分期項目">和裕維力貸!$Q$9:$Q$10</definedName>
    <definedName name="手機電信公司">和裕維力貸!$W$2:$W$5</definedName>
    <definedName name="申貸金額">和裕維力貸!$U$2:$U$14</definedName>
    <definedName name="申貸期數">和裕維力貸!$V$3:$V$7</definedName>
    <definedName name="身份證發證地">和裕維力貸!$R$2:$R$28</definedName>
    <definedName name="婚姻狀態">和裕維力貸!$Q$2:$Q$3</definedName>
    <definedName name="現居狀況">和裕維力貸!$T$2:$T$6</definedName>
    <definedName name="最高學歷">和裕維力貸!$S$2:$S$5</definedName>
    <definedName name="維力商品貸">和裕維力貸!$Q$44:$Q$46</definedName>
    <definedName name="維力機車貸">和裕維力貸!$R$44:$R$45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7" l="1"/>
  <c r="AA22" i="7"/>
  <c r="AB22" i="7"/>
  <c r="Y27" i="7" s="1"/>
  <c r="AC22" i="7"/>
  <c r="Y28" i="7" s="1"/>
  <c r="AD22" i="7"/>
  <c r="Y29" i="7" s="1"/>
  <c r="AE22" i="7"/>
  <c r="Y30" i="7" s="1"/>
  <c r="Z22" i="7"/>
  <c r="Y25" i="7" s="1"/>
  <c r="Y26" i="7"/>
  <c r="AP28" i="7" l="1"/>
  <c r="AJ28" i="7"/>
  <c r="AA28" i="7"/>
  <c r="AA5" i="7" s="1"/>
  <c r="AE28" i="7"/>
  <c r="AI28" i="7"/>
  <c r="AI5" i="7" s="1"/>
  <c r="AM28" i="7"/>
  <c r="AK28" i="7"/>
  <c r="AB28" i="7"/>
  <c r="AF28" i="7"/>
  <c r="AO28" i="7"/>
  <c r="AL28" i="7"/>
  <c r="AC28" i="7"/>
  <c r="AC5" i="7" s="1"/>
  <c r="AG28" i="7"/>
  <c r="AG5" i="7" s="1"/>
  <c r="AQ28" i="7"/>
  <c r="Z28" i="7"/>
  <c r="Z5" i="7" s="1"/>
  <c r="AD28" i="7"/>
  <c r="AH28" i="7"/>
  <c r="AH5" i="7" s="1"/>
  <c r="AM27" i="7"/>
  <c r="AQ27" i="7"/>
  <c r="AD27" i="7"/>
  <c r="AD4" i="7" s="1"/>
  <c r="AH27" i="7"/>
  <c r="Z27" i="7"/>
  <c r="AG27" i="7"/>
  <c r="AN27" i="7"/>
  <c r="AJ27" i="7"/>
  <c r="AA27" i="7"/>
  <c r="AA4" i="7" s="1"/>
  <c r="AE27" i="7"/>
  <c r="AE4" i="7" s="1"/>
  <c r="AI27" i="7"/>
  <c r="AP27" i="7"/>
  <c r="AL27" i="7"/>
  <c r="AC27" i="7"/>
  <c r="AC4" i="7" s="1"/>
  <c r="AO27" i="7"/>
  <c r="AK27" i="7"/>
  <c r="AB27" i="7"/>
  <c r="AB4" i="7" s="1"/>
  <c r="AF27" i="7"/>
  <c r="AF4" i="7" s="1"/>
  <c r="AP26" i="7"/>
  <c r="AJ26" i="7"/>
  <c r="AC26" i="7"/>
  <c r="AC3" i="7" s="1"/>
  <c r="AG26" i="7"/>
  <c r="AG3" i="7" s="1"/>
  <c r="AF26" i="7"/>
  <c r="AF3" i="7" s="1"/>
  <c r="AM26" i="7"/>
  <c r="AK26" i="7"/>
  <c r="Z26" i="7"/>
  <c r="AD26" i="7"/>
  <c r="AH26" i="7"/>
  <c r="AH3" i="7" s="1"/>
  <c r="AE26" i="7"/>
  <c r="AE3" i="7" s="1"/>
  <c r="AO26" i="7"/>
  <c r="AL26" i="7"/>
  <c r="AA26" i="7"/>
  <c r="AA3" i="7" s="1"/>
  <c r="AI26" i="7"/>
  <c r="AI3" i="7" s="1"/>
  <c r="AQ26" i="7"/>
  <c r="AB26" i="7"/>
  <c r="AN25" i="7"/>
  <c r="AQ25" i="7"/>
  <c r="AK25" i="7"/>
  <c r="AD25" i="7"/>
  <c r="AH25" i="7"/>
  <c r="AH2" i="7" s="1"/>
  <c r="AP25" i="7"/>
  <c r="AL25" i="7"/>
  <c r="AA25" i="7"/>
  <c r="AE25" i="7"/>
  <c r="AE2" i="7" s="1"/>
  <c r="AI25" i="7"/>
  <c r="AI2" i="7" s="1"/>
  <c r="AJ25" i="7"/>
  <c r="AC25" i="7"/>
  <c r="AG25" i="7"/>
  <c r="AG2" i="7" s="1"/>
  <c r="Z25" i="7"/>
  <c r="AB25" i="7"/>
  <c r="AB2" i="7" s="1"/>
  <c r="AF25" i="7"/>
  <c r="AM25" i="7"/>
  <c r="AN28" i="7"/>
  <c r="AN26" i="7"/>
  <c r="AP29" i="7"/>
  <c r="AC29" i="7"/>
  <c r="AG29" i="7"/>
  <c r="AG6" i="7" s="1"/>
  <c r="AM29" i="7"/>
  <c r="AQ29" i="7"/>
  <c r="AJ29" i="7"/>
  <c r="AD29" i="7"/>
  <c r="AD6" i="7" s="1"/>
  <c r="AH29" i="7"/>
  <c r="AL29" i="7"/>
  <c r="AN29" i="7"/>
  <c r="AK29" i="7"/>
  <c r="Z29" i="7"/>
  <c r="AA29" i="7"/>
  <c r="AE29" i="7"/>
  <c r="AI29" i="7"/>
  <c r="AI6" i="7" s="1"/>
  <c r="AO29" i="7"/>
  <c r="AB29" i="7"/>
  <c r="AF29" i="7"/>
  <c r="AO25" i="7"/>
  <c r="AB34" i="7"/>
  <c r="AB11" i="7" s="1"/>
  <c r="AE35" i="7"/>
  <c r="AE12" i="7" s="1"/>
  <c r="AA35" i="7"/>
  <c r="AA12" i="7" s="1"/>
  <c r="AI37" i="7"/>
  <c r="AI14" i="7" s="1"/>
  <c r="AB36" i="7"/>
  <c r="AB13" i="7" s="1"/>
  <c r="AG34" i="7"/>
  <c r="AG11" i="7" s="1"/>
  <c r="AH35" i="7"/>
  <c r="AH12" i="7" s="1"/>
  <c r="AD38" i="7" l="1"/>
  <c r="AD15" i="7" s="1"/>
  <c r="AH34" i="7"/>
  <c r="AH11" i="7" s="1"/>
  <c r="AE34" i="7"/>
  <c r="AE11" i="7" s="1"/>
  <c r="AG37" i="7"/>
  <c r="AG14" i="7" s="1"/>
  <c r="AH37" i="7"/>
  <c r="AH14" i="7" s="1"/>
  <c r="AI35" i="7"/>
  <c r="AI12" i="7" s="1"/>
  <c r="AA36" i="7"/>
  <c r="AA13" i="7" s="1"/>
  <c r="AC35" i="7"/>
  <c r="AC12" i="7" s="1"/>
  <c r="AD36" i="7"/>
  <c r="AD13" i="7" s="1"/>
  <c r="AA37" i="7"/>
  <c r="AA14" i="7" s="1"/>
  <c r="AG38" i="7"/>
  <c r="AG15" i="7" s="1"/>
  <c r="AI34" i="7"/>
  <c r="AI11" i="7" s="1"/>
  <c r="AI38" i="7"/>
  <c r="AI15" i="7" s="1"/>
  <c r="AE36" i="7"/>
  <c r="AE13" i="7" s="1"/>
  <c r="AG35" i="7"/>
  <c r="AG12" i="7" s="1"/>
  <c r="AF35" i="7"/>
  <c r="AF12" i="7" s="1"/>
  <c r="AC37" i="7"/>
  <c r="AC14" i="7" s="1"/>
  <c r="AC36" i="7"/>
  <c r="AC13" i="7" s="1"/>
  <c r="AF36" i="7"/>
  <c r="AF13" i="7" s="1"/>
  <c r="Z37" i="7"/>
  <c r="Z14" i="7" s="1"/>
  <c r="AB38" i="7"/>
  <c r="AB15" i="7" s="1"/>
  <c r="AB6" i="7"/>
  <c r="AL38" i="7"/>
  <c r="AL15" i="7" s="1"/>
  <c r="AL6" i="7"/>
  <c r="AC34" i="7"/>
  <c r="AC11" i="7" s="1"/>
  <c r="AC2" i="7"/>
  <c r="AB35" i="7"/>
  <c r="AB12" i="7" s="1"/>
  <c r="AB3" i="7"/>
  <c r="AD35" i="7"/>
  <c r="AD12" i="7" s="1"/>
  <c r="AD3" i="7"/>
  <c r="AO36" i="7"/>
  <c r="AO13" i="7" s="1"/>
  <c r="AO4" i="7"/>
  <c r="AN36" i="7"/>
  <c r="AN13" i="7" s="1"/>
  <c r="AN4" i="7"/>
  <c r="AD37" i="7"/>
  <c r="AD14" i="7" s="1"/>
  <c r="AD5" i="7"/>
  <c r="AE37" i="7"/>
  <c r="AE14" i="7" s="1"/>
  <c r="AE5" i="7"/>
  <c r="AO38" i="7"/>
  <c r="AO15" i="7" s="1"/>
  <c r="AO6" i="7"/>
  <c r="Z38" i="7"/>
  <c r="Z15" i="7" s="1"/>
  <c r="Z6" i="7"/>
  <c r="AH38" i="7"/>
  <c r="AH15" i="7" s="1"/>
  <c r="AH6" i="7"/>
  <c r="AM38" i="7"/>
  <c r="AM15" i="7" s="1"/>
  <c r="AM6" i="7"/>
  <c r="AN35" i="7"/>
  <c r="AN12" i="7" s="1"/>
  <c r="AN3" i="7"/>
  <c r="AJ34" i="7"/>
  <c r="AJ11" i="7" s="1"/>
  <c r="AJ2" i="7"/>
  <c r="AL34" i="7"/>
  <c r="AL11" i="7" s="1"/>
  <c r="AL2" i="7"/>
  <c r="AK34" i="7"/>
  <c r="AK11" i="7" s="1"/>
  <c r="AK2" i="7"/>
  <c r="AQ35" i="7"/>
  <c r="AQ12" i="7" s="1"/>
  <c r="AQ3" i="7"/>
  <c r="AO35" i="7"/>
  <c r="AO12" i="7" s="1"/>
  <c r="AO3" i="7"/>
  <c r="Z35" i="7"/>
  <c r="Z12" i="7" s="1"/>
  <c r="Z3" i="7"/>
  <c r="AG36" i="7"/>
  <c r="AG13" i="7" s="1"/>
  <c r="AG4" i="7"/>
  <c r="AQ36" i="7"/>
  <c r="AQ13" i="7" s="1"/>
  <c r="AQ4" i="7"/>
  <c r="AL37" i="7"/>
  <c r="AL14" i="7" s="1"/>
  <c r="AL5" i="7"/>
  <c r="AK37" i="7"/>
  <c r="AK14" i="7" s="1"/>
  <c r="AK5" i="7"/>
  <c r="AA38" i="7"/>
  <c r="AA15" i="7" s="1"/>
  <c r="AA6" i="7"/>
  <c r="AP38" i="7"/>
  <c r="AP15" i="7" s="1"/>
  <c r="AP6" i="7"/>
  <c r="AF34" i="7"/>
  <c r="AF11" i="7" s="1"/>
  <c r="AF2" i="7"/>
  <c r="AD34" i="7"/>
  <c r="AD11" i="7" s="1"/>
  <c r="AD2" i="7"/>
  <c r="AL35" i="7"/>
  <c r="AL12" i="7" s="1"/>
  <c r="AL3" i="7"/>
  <c r="AP35" i="7"/>
  <c r="AP12" i="7" s="1"/>
  <c r="AP3" i="7"/>
  <c r="AI36" i="7"/>
  <c r="AI13" i="7" s="1"/>
  <c r="AI4" i="7"/>
  <c r="AB37" i="7"/>
  <c r="AB14" i="7" s="1"/>
  <c r="AB5" i="7"/>
  <c r="AO34" i="7"/>
  <c r="AO11" i="7" s="1"/>
  <c r="AO2" i="7"/>
  <c r="AK38" i="7"/>
  <c r="AK15" i="7" s="1"/>
  <c r="AK6" i="7"/>
  <c r="AN37" i="7"/>
  <c r="AN14" i="7" s="1"/>
  <c r="AN5" i="7"/>
  <c r="Z34" i="7"/>
  <c r="Z11" i="7" s="1"/>
  <c r="Z2" i="7"/>
  <c r="AP34" i="7"/>
  <c r="AP11" i="7" s="1"/>
  <c r="AP2" i="7"/>
  <c r="AQ34" i="7"/>
  <c r="AQ11" i="7" s="1"/>
  <c r="AQ2" i="7"/>
  <c r="AK35" i="7"/>
  <c r="AK12" i="7" s="1"/>
  <c r="AK3" i="7"/>
  <c r="AL36" i="7"/>
  <c r="AL13" i="7" s="1"/>
  <c r="AL4" i="7"/>
  <c r="Z36" i="7"/>
  <c r="Z13" i="7" s="1"/>
  <c r="Z4" i="7"/>
  <c r="AM36" i="7"/>
  <c r="AM13" i="7" s="1"/>
  <c r="AM4" i="7"/>
  <c r="AQ37" i="7"/>
  <c r="AQ14" i="7" s="1"/>
  <c r="AQ5" i="7"/>
  <c r="AO37" i="7"/>
  <c r="AO14" i="7" s="1"/>
  <c r="AO5" i="7"/>
  <c r="AM37" i="7"/>
  <c r="AM14" i="7" s="1"/>
  <c r="AM5" i="7"/>
  <c r="AJ37" i="7"/>
  <c r="AJ14" i="7" s="1"/>
  <c r="AJ5" i="7"/>
  <c r="AQ38" i="7"/>
  <c r="AQ15" i="7" s="1"/>
  <c r="AQ6" i="7"/>
  <c r="AA34" i="7"/>
  <c r="AA11" i="7" s="1"/>
  <c r="AA2" i="7"/>
  <c r="AF38" i="7"/>
  <c r="AF15" i="7" s="1"/>
  <c r="AF6" i="7"/>
  <c r="AE38" i="7"/>
  <c r="AE15" i="7" s="1"/>
  <c r="AE6" i="7"/>
  <c r="AN38" i="7"/>
  <c r="AN15" i="7" s="1"/>
  <c r="AN6" i="7"/>
  <c r="AJ38" i="7"/>
  <c r="AJ15" i="7" s="1"/>
  <c r="AJ6" i="7"/>
  <c r="AC38" i="7"/>
  <c r="AC15" i="7" s="1"/>
  <c r="AC6" i="7"/>
  <c r="AM34" i="7"/>
  <c r="AM11" i="7" s="1"/>
  <c r="AM2" i="7"/>
  <c r="AN34" i="7"/>
  <c r="AN11" i="7" s="1"/>
  <c r="AN2" i="7"/>
  <c r="AM35" i="7"/>
  <c r="AM12" i="7" s="1"/>
  <c r="AM3" i="7"/>
  <c r="AJ35" i="7"/>
  <c r="AJ12" i="7" s="1"/>
  <c r="AJ3" i="7"/>
  <c r="AK36" i="7"/>
  <c r="AK13" i="7" s="1"/>
  <c r="AK4" i="7"/>
  <c r="AP36" i="7"/>
  <c r="AP13" i="7" s="1"/>
  <c r="AP4" i="7"/>
  <c r="AJ36" i="7"/>
  <c r="AJ13" i="7" s="1"/>
  <c r="AJ4" i="7"/>
  <c r="AH36" i="7"/>
  <c r="AH13" i="7" s="1"/>
  <c r="AH4" i="7"/>
  <c r="AF37" i="7"/>
  <c r="AF14" i="7" s="1"/>
  <c r="AF5" i="7"/>
  <c r="AP37" i="7"/>
  <c r="AP14" i="7" s="1"/>
  <c r="AP5" i="7"/>
  <c r="AM30" i="7"/>
  <c r="AQ30" i="7"/>
  <c r="AJ30" i="7"/>
  <c r="AB30" i="7"/>
  <c r="AF30" i="7"/>
  <c r="AN30" i="7"/>
  <c r="AK30" i="7"/>
  <c r="AC30" i="7"/>
  <c r="AG30" i="7"/>
  <c r="AO30" i="7"/>
  <c r="AL30" i="7"/>
  <c r="AD30" i="7"/>
  <c r="AH30" i="7"/>
  <c r="AP30" i="7"/>
  <c r="Z30" i="7"/>
  <c r="AA30" i="7"/>
  <c r="AE30" i="7"/>
  <c r="AI30" i="7"/>
  <c r="Z39" i="7" l="1"/>
  <c r="Z16" i="7" s="1"/>
  <c r="Z7" i="7"/>
  <c r="AJ39" i="7"/>
  <c r="AJ16" i="7" s="1"/>
  <c r="AJ7" i="7"/>
  <c r="AP39" i="7"/>
  <c r="AP16" i="7" s="1"/>
  <c r="AP7" i="7"/>
  <c r="AN39" i="7"/>
  <c r="AN16" i="7" s="1"/>
  <c r="AN7" i="7"/>
  <c r="AE39" i="7"/>
  <c r="AE16" i="7" s="1"/>
  <c r="AE7" i="7"/>
  <c r="AG39" i="7"/>
  <c r="AG16" i="7" s="1"/>
  <c r="AG7" i="7"/>
  <c r="AM39" i="7"/>
  <c r="AM16" i="7" s="1"/>
  <c r="AM7" i="7"/>
  <c r="AK39" i="7"/>
  <c r="AK16" i="7" s="1"/>
  <c r="AK7" i="7"/>
  <c r="AI39" i="7"/>
  <c r="AI16" i="7" s="1"/>
  <c r="AI7" i="7"/>
  <c r="AO39" i="7"/>
  <c r="AO16" i="7" s="1"/>
  <c r="AO7" i="7"/>
  <c r="AQ39" i="7"/>
  <c r="AQ16" i="7" s="1"/>
  <c r="AQ7" i="7"/>
  <c r="AH39" i="7"/>
  <c r="AH16" i="7" s="1"/>
  <c r="AH7" i="7"/>
  <c r="AF39" i="7"/>
  <c r="AF16" i="7" s="1"/>
  <c r="AF7" i="7"/>
  <c r="AA39" i="7"/>
  <c r="AA16" i="7" s="1"/>
  <c r="AA7" i="7"/>
  <c r="AD39" i="7"/>
  <c r="AD16" i="7" s="1"/>
  <c r="AD7" i="7"/>
  <c r="AC39" i="7"/>
  <c r="AC16" i="7" s="1"/>
  <c r="AC7" i="7"/>
  <c r="AB39" i="7"/>
  <c r="AB16" i="7" s="1"/>
  <c r="AB7" i="7"/>
  <c r="AL39" i="7"/>
  <c r="AL16" i="7" s="1"/>
  <c r="F44" i="7" s="1"/>
  <c r="AL7" i="7"/>
  <c r="C44" i="7" s="1"/>
  <c r="C45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X3005</author>
  </authors>
  <commentList>
    <comment ref="C12" authorId="0" shapeId="0" xr:uid="{00000000-0006-0000-0000-000001000000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081/01/01</t>
        </r>
      </text>
    </comment>
    <comment ref="H15" authorId="0" shapeId="0" xr:uid="{00000000-0006-0000-0000-000002000000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02-12341234</t>
        </r>
      </text>
    </comment>
    <comment ref="H16" authorId="0" shapeId="0" xr:uid="{00000000-0006-0000-0000-000003000000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02-12341234</t>
        </r>
      </text>
    </comment>
    <comment ref="H17" authorId="0" shapeId="0" xr:uid="{00000000-0006-0000-0000-000004000000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02-12341234</t>
        </r>
      </text>
    </comment>
    <comment ref="I18" authorId="0" shapeId="0" xr:uid="{00000000-0006-0000-0000-000005000000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5</t>
        </r>
        <r>
          <rPr>
            <b/>
            <sz val="10"/>
            <color indexed="81"/>
            <rFont val="細明體"/>
            <family val="3"/>
            <charset val="136"/>
          </rPr>
          <t>年</t>
        </r>
        <r>
          <rPr>
            <b/>
            <sz val="10"/>
            <color indexed="81"/>
            <rFont val="Tahoma"/>
            <family val="2"/>
          </rPr>
          <t>3</t>
        </r>
        <r>
          <rPr>
            <b/>
            <sz val="10"/>
            <color indexed="81"/>
            <rFont val="細明體"/>
            <family val="3"/>
            <charset val="136"/>
          </rPr>
          <t>月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I19" authorId="0" shapeId="0" xr:uid="{00000000-0006-0000-0000-000006000000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注意格式、單位
</t>
        </r>
        <r>
          <rPr>
            <b/>
            <sz val="10"/>
            <color indexed="81"/>
            <rFont val="Tahoma"/>
            <family val="2"/>
          </rPr>
          <t>ex: 3.5</t>
        </r>
        <r>
          <rPr>
            <b/>
            <sz val="10"/>
            <color indexed="81"/>
            <rFont val="細明體"/>
            <family val="3"/>
            <charset val="136"/>
          </rPr>
          <t>萬</t>
        </r>
      </text>
    </comment>
    <comment ref="C29" authorId="0" shapeId="0" xr:uid="{00000000-0006-0000-0000-000007000000}">
      <text>
        <r>
          <rPr>
            <b/>
            <sz val="10"/>
            <color indexed="81"/>
            <rFont val="細明體"/>
            <family val="3"/>
            <charset val="136"/>
          </rPr>
          <t>注意格式</t>
        </r>
        <r>
          <rPr>
            <b/>
            <sz val="10"/>
            <color indexed="81"/>
            <rFont val="Tahoma"/>
            <family val="2"/>
          </rPr>
          <t xml:space="preserve">
ex: 081/01/01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F29" authorId="0" shapeId="0" xr:uid="{00000000-0006-0000-0000-000008000000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 xml:space="preserve">ex: 081/01/01 </t>
        </r>
        <r>
          <rPr>
            <b/>
            <sz val="10"/>
            <color indexed="81"/>
            <rFont val="細明體"/>
            <family val="3"/>
            <charset val="136"/>
          </rPr>
          <t>換</t>
        </r>
      </text>
    </comment>
    <comment ref="H31" authorId="0" shapeId="0" xr:uid="{00000000-0006-0000-0000-000009000000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02-12341234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32" authorId="0" shapeId="0" xr:uid="{00000000-0006-0000-0000-00000A000000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02-12341234</t>
        </r>
      </text>
    </comment>
    <comment ref="F33" authorId="0" shapeId="0" xr:uid="{00000000-0006-0000-0000-00000B000000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 xml:space="preserve">ex: 02-12341234
0900-001002
</t>
        </r>
      </text>
    </comment>
    <comment ref="C42" authorId="0" shapeId="0" xr:uid="{00000000-0006-0000-0000-00000C000000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注意格式，
請勿只寫品牌
</t>
        </r>
        <r>
          <rPr>
            <b/>
            <sz val="10"/>
            <color indexed="81"/>
            <rFont val="Tahoma"/>
            <family val="2"/>
          </rPr>
          <t xml:space="preserve">ex: </t>
        </r>
        <r>
          <rPr>
            <b/>
            <sz val="10"/>
            <color indexed="81"/>
            <rFont val="細明體"/>
            <family val="3"/>
            <charset val="136"/>
          </rPr>
          <t>蘋果手機、三星手機、三陽機車...</t>
        </r>
      </text>
    </comment>
    <comment ref="F42" authorId="0" shapeId="0" xr:uid="{00000000-0006-0000-0000-00000D000000}">
      <text>
        <r>
          <rPr>
            <b/>
            <sz val="10"/>
            <color indexed="81"/>
            <rFont val="細明體"/>
            <family val="3"/>
            <charset val="136"/>
          </rPr>
          <t xml:space="preserve">商品填型號
</t>
        </r>
        <r>
          <rPr>
            <b/>
            <sz val="10"/>
            <color indexed="81"/>
            <rFont val="Tahoma"/>
            <family val="2"/>
          </rPr>
          <t>ex: iPhone 15</t>
        </r>
        <r>
          <rPr>
            <b/>
            <sz val="10"/>
            <color indexed="81"/>
            <rFont val="細明體"/>
            <family val="3"/>
            <charset val="136"/>
          </rPr>
          <t>、</t>
        </r>
        <r>
          <rPr>
            <b/>
            <sz val="10"/>
            <color indexed="81"/>
            <rFont val="Tahoma"/>
            <family val="2"/>
          </rPr>
          <t xml:space="preserve">S24 ultra
</t>
        </r>
        <r>
          <rPr>
            <b/>
            <sz val="10"/>
            <color indexed="81"/>
            <rFont val="細明體"/>
            <family val="3"/>
            <charset val="136"/>
          </rPr>
          <t xml:space="preserve">機車填車牌
</t>
        </r>
        <r>
          <rPr>
            <b/>
            <sz val="10"/>
            <color indexed="81"/>
            <rFont val="Tahoma"/>
            <family val="2"/>
          </rPr>
          <t>ex: ABC-1234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<sst xmlns="http://schemas.openxmlformats.org/spreadsheetml/2006/main" count="362" uniqueCount="236">
  <si>
    <t>期付款</t>
    <phoneticPr fontId="1" type="noConversion"/>
  </si>
  <si>
    <t>分期總價</t>
    <phoneticPr fontId="1" type="noConversion"/>
  </si>
  <si>
    <t>期數</t>
    <phoneticPr fontId="1" type="noConversion"/>
  </si>
  <si>
    <t>3</t>
    <phoneticPr fontId="1" type="noConversion"/>
  </si>
  <si>
    <t>回購金額</t>
    <phoneticPr fontId="1" type="noConversion"/>
  </si>
  <si>
    <t>其他</t>
    <phoneticPr fontId="1" type="noConversion"/>
  </si>
  <si>
    <t>3萬</t>
  </si>
  <si>
    <t>3萬</t>
    <phoneticPr fontId="1" type="noConversion"/>
  </si>
  <si>
    <t>4萬</t>
  </si>
  <si>
    <t>4萬</t>
    <phoneticPr fontId="1" type="noConversion"/>
  </si>
  <si>
    <t>5萬</t>
  </si>
  <si>
    <t>6萬</t>
  </si>
  <si>
    <t>7萬</t>
  </si>
  <si>
    <t>8萬</t>
  </si>
  <si>
    <t>9萬</t>
  </si>
  <si>
    <t>10萬</t>
  </si>
  <si>
    <t>11萬</t>
  </si>
  <si>
    <t>12萬</t>
  </si>
  <si>
    <t>6期</t>
  </si>
  <si>
    <t>6期</t>
    <phoneticPr fontId="1" type="noConversion"/>
  </si>
  <si>
    <t>9期</t>
  </si>
  <si>
    <t>9期</t>
    <phoneticPr fontId="1" type="noConversion"/>
  </si>
  <si>
    <t>12期</t>
  </si>
  <si>
    <t>12期</t>
    <phoneticPr fontId="1" type="noConversion"/>
  </si>
  <si>
    <t>15期</t>
  </si>
  <si>
    <t>15期</t>
    <phoneticPr fontId="1" type="noConversion"/>
  </si>
  <si>
    <t>18期</t>
  </si>
  <si>
    <t>18期</t>
    <phoneticPr fontId="1" type="noConversion"/>
  </si>
  <si>
    <t>基數</t>
    <phoneticPr fontId="1" type="noConversion"/>
  </si>
  <si>
    <t>24期</t>
  </si>
  <si>
    <t>24期</t>
    <phoneticPr fontId="1" type="noConversion"/>
  </si>
  <si>
    <t>4</t>
    <phoneticPr fontId="1" type="noConversion"/>
  </si>
  <si>
    <t>5</t>
  </si>
  <si>
    <t>6</t>
  </si>
  <si>
    <t>7</t>
  </si>
  <si>
    <t>8</t>
  </si>
  <si>
    <t>9</t>
  </si>
  <si>
    <t>10</t>
  </si>
  <si>
    <t>11</t>
  </si>
  <si>
    <t>12</t>
  </si>
  <si>
    <t>6</t>
    <phoneticPr fontId="1" type="noConversion"/>
  </si>
  <si>
    <t>9</t>
    <phoneticPr fontId="1" type="noConversion"/>
  </si>
  <si>
    <t>12</t>
    <phoneticPr fontId="1" type="noConversion"/>
  </si>
  <si>
    <t>15</t>
    <phoneticPr fontId="1" type="noConversion"/>
  </si>
  <si>
    <t>18</t>
    <phoneticPr fontId="1" type="noConversion"/>
  </si>
  <si>
    <t>24</t>
    <phoneticPr fontId="1" type="noConversion"/>
  </si>
  <si>
    <t>婚姻狀態</t>
  </si>
  <si>
    <t>身份證發證地</t>
  </si>
  <si>
    <t>最高學歷</t>
  </si>
  <si>
    <t>現居狀況</t>
  </si>
  <si>
    <t>申貸金額</t>
  </si>
  <si>
    <t>申貸期數</t>
  </si>
  <si>
    <t>已婚</t>
  </si>
  <si>
    <t>北市</t>
  </si>
  <si>
    <t>高中職</t>
  </si>
  <si>
    <t>自有</t>
  </si>
  <si>
    <t>未婚</t>
  </si>
  <si>
    <t>高市</t>
  </si>
  <si>
    <t>專科、大學</t>
  </si>
  <si>
    <t>配偶</t>
  </si>
  <si>
    <t>新北市</t>
  </si>
  <si>
    <t>研究所以上</t>
  </si>
  <si>
    <t>親人</t>
  </si>
  <si>
    <t>中市</t>
  </si>
  <si>
    <t>其他</t>
  </si>
  <si>
    <t>租屋</t>
  </si>
  <si>
    <t>南市</t>
  </si>
  <si>
    <t>宿舍</t>
  </si>
  <si>
    <t>桃市</t>
  </si>
  <si>
    <t>北縣</t>
  </si>
  <si>
    <t>基市</t>
  </si>
  <si>
    <t>宜縣</t>
  </si>
  <si>
    <t>桃縣</t>
  </si>
  <si>
    <t>竹縣</t>
  </si>
  <si>
    <t>竹市</t>
  </si>
  <si>
    <t>苗縣</t>
  </si>
  <si>
    <t>中縣</t>
  </si>
  <si>
    <t>彰縣</t>
  </si>
  <si>
    <t>投縣</t>
  </si>
  <si>
    <t>雲縣</t>
  </si>
  <si>
    <t>嘉縣</t>
  </si>
  <si>
    <t>嘉市</t>
  </si>
  <si>
    <t>南縣</t>
  </si>
  <si>
    <t>高縣</t>
  </si>
  <si>
    <t>屏縣</t>
  </si>
  <si>
    <t>東縣</t>
  </si>
  <si>
    <t>花縣</t>
  </si>
  <si>
    <t>澎縣</t>
  </si>
  <si>
    <t>連江</t>
  </si>
  <si>
    <t>金門</t>
  </si>
  <si>
    <t>手機電信公司</t>
    <phoneticPr fontId="1" type="noConversion"/>
  </si>
  <si>
    <t>中華電信</t>
    <phoneticPr fontId="1" type="noConversion"/>
  </si>
  <si>
    <t>遠傳電信</t>
    <phoneticPr fontId="1" type="noConversion"/>
  </si>
  <si>
    <t>台灣大哥大</t>
    <phoneticPr fontId="1" type="noConversion"/>
  </si>
  <si>
    <t>15萬</t>
    <phoneticPr fontId="1" type="noConversion"/>
  </si>
  <si>
    <t>13萬</t>
    <phoneticPr fontId="1" type="noConversion"/>
  </si>
  <si>
    <t>14萬</t>
    <phoneticPr fontId="1" type="noConversion"/>
  </si>
  <si>
    <t>13</t>
    <phoneticPr fontId="1" type="noConversion"/>
  </si>
  <si>
    <t>14</t>
    <phoneticPr fontId="1" type="noConversion"/>
  </si>
  <si>
    <t>16萬</t>
  </si>
  <si>
    <t>17萬</t>
  </si>
  <si>
    <t>18萬</t>
  </si>
  <si>
    <t>19萬</t>
  </si>
  <si>
    <t>20萬</t>
  </si>
  <si>
    <t>16</t>
  </si>
  <si>
    <t>17</t>
  </si>
  <si>
    <t>18</t>
  </si>
  <si>
    <t>19</t>
  </si>
  <si>
    <t>20</t>
  </si>
  <si>
    <t>通路名:</t>
    <phoneticPr fontId="1" type="noConversion"/>
  </si>
  <si>
    <t>申請人</t>
    <phoneticPr fontId="1" type="noConversion"/>
  </si>
  <si>
    <t>姓名</t>
    <phoneticPr fontId="1" type="noConversion"/>
  </si>
  <si>
    <t>身份證字號</t>
    <phoneticPr fontId="1" type="noConversion"/>
  </si>
  <si>
    <t>生日</t>
    <phoneticPr fontId="1" type="noConversion"/>
  </si>
  <si>
    <t>身份證發證日</t>
    <phoneticPr fontId="1" type="noConversion"/>
  </si>
  <si>
    <t>婚姻狀態</t>
    <phoneticPr fontId="1" type="noConversion"/>
  </si>
  <si>
    <t>身份證發證地</t>
    <phoneticPr fontId="1" type="noConversion"/>
  </si>
  <si>
    <t>最高學歷</t>
    <phoneticPr fontId="1" type="noConversion"/>
  </si>
  <si>
    <t>行動電話</t>
    <phoneticPr fontId="1" type="noConversion"/>
  </si>
  <si>
    <t>ex: 0900-001002</t>
    <phoneticPr fontId="1" type="noConversion"/>
  </si>
  <si>
    <t>戶籍地址</t>
    <phoneticPr fontId="1" type="noConversion"/>
  </si>
  <si>
    <t>戶籍電話</t>
    <phoneticPr fontId="1" type="noConversion"/>
  </si>
  <si>
    <t>住家地址</t>
    <phoneticPr fontId="1" type="noConversion"/>
  </si>
  <si>
    <t>同戶籍</t>
    <phoneticPr fontId="1" type="noConversion"/>
  </si>
  <si>
    <t>住家電話</t>
    <phoneticPr fontId="1" type="noConversion"/>
  </si>
  <si>
    <t>公司電話</t>
    <phoneticPr fontId="1" type="noConversion"/>
  </si>
  <si>
    <t>公司名稱</t>
    <phoneticPr fontId="1" type="noConversion"/>
  </si>
  <si>
    <t>職稱</t>
    <phoneticPr fontId="1" type="noConversion"/>
  </si>
  <si>
    <t>年資</t>
    <phoneticPr fontId="1" type="noConversion"/>
  </si>
  <si>
    <t>公司地址</t>
    <phoneticPr fontId="1" type="noConversion"/>
  </si>
  <si>
    <t>行業類別</t>
    <phoneticPr fontId="1" type="noConversion"/>
  </si>
  <si>
    <t>月薪</t>
    <phoneticPr fontId="1" type="noConversion"/>
  </si>
  <si>
    <t>聯絡人1</t>
    <phoneticPr fontId="1" type="noConversion"/>
  </si>
  <si>
    <t>聯絡人2</t>
    <phoneticPr fontId="1" type="noConversion"/>
  </si>
  <si>
    <t>關係</t>
    <phoneticPr fontId="1" type="noConversion"/>
  </si>
  <si>
    <t>商品與貸款資訊</t>
    <phoneticPr fontId="1" type="noConversion"/>
  </si>
  <si>
    <t>廠牌+商品</t>
    <phoneticPr fontId="1" type="noConversion"/>
  </si>
  <si>
    <t>申貸金額</t>
    <phoneticPr fontId="1" type="noConversion"/>
  </si>
  <si>
    <t>申貸期數</t>
    <phoneticPr fontId="1" type="noConversion"/>
  </si>
  <si>
    <t>撥款資訊</t>
    <phoneticPr fontId="1" type="noConversion"/>
  </si>
  <si>
    <t>分行</t>
    <phoneticPr fontId="1" type="noConversion"/>
  </si>
  <si>
    <t>戶名</t>
    <phoneticPr fontId="1" type="noConversion"/>
  </si>
  <si>
    <t>1798</t>
  </si>
  <si>
    <t>1243</t>
  </si>
  <si>
    <t>知情</t>
    <phoneticPr fontId="1" type="noConversion"/>
  </si>
  <si>
    <t>保密</t>
    <phoneticPr fontId="1" type="noConversion"/>
  </si>
  <si>
    <t>請確認知情或保密</t>
    <phoneticPr fontId="1" type="noConversion"/>
  </si>
  <si>
    <t>Line ID</t>
    <phoneticPr fontId="1" type="noConversion"/>
  </si>
  <si>
    <t>服務業</t>
  </si>
  <si>
    <t>餐飲業</t>
  </si>
  <si>
    <t>科技業</t>
  </si>
  <si>
    <t>軍人</t>
  </si>
  <si>
    <t>運輸業</t>
  </si>
  <si>
    <t>倉儲業</t>
  </si>
  <si>
    <t>金融業</t>
  </si>
  <si>
    <t>製造業</t>
  </si>
  <si>
    <t>營造業</t>
  </si>
  <si>
    <t>電商網拍業</t>
  </si>
  <si>
    <t>農狩林牧業</t>
  </si>
  <si>
    <t>礦業</t>
  </si>
  <si>
    <t>漁業</t>
  </si>
  <si>
    <t>證券期貨業</t>
  </si>
  <si>
    <t>保險業</t>
  </si>
  <si>
    <t>不動產業</t>
  </si>
  <si>
    <t>公教人員</t>
  </si>
  <si>
    <t>水電燃氣業</t>
  </si>
  <si>
    <t>通信業</t>
  </si>
  <si>
    <t>社團個人服務</t>
  </si>
  <si>
    <t>其它</t>
  </si>
  <si>
    <t>銀行</t>
    <phoneticPr fontId="1" type="noConversion"/>
  </si>
  <si>
    <t>型號或車號</t>
    <phoneticPr fontId="1" type="noConversion"/>
  </si>
  <si>
    <t>和裕維力貸 申請書</t>
    <phoneticPr fontId="1" type="noConversion"/>
  </si>
  <si>
    <t>ex: 081/01/01 換</t>
    <phoneticPr fontId="1" type="noConversion"/>
  </si>
  <si>
    <t>商品</t>
    <phoneticPr fontId="1" type="noConversion"/>
  </si>
  <si>
    <t>機車</t>
    <phoneticPr fontId="1" type="noConversion"/>
  </si>
  <si>
    <t>分期項目:</t>
    <phoneticPr fontId="1" type="noConversion"/>
  </si>
  <si>
    <t xml:space="preserve"> </t>
    <phoneticPr fontId="9" type="noConversion"/>
  </si>
  <si>
    <t>身份證發證日</t>
    <phoneticPr fontId="9" type="noConversion"/>
  </si>
  <si>
    <t>關係</t>
    <phoneticPr fontId="9" type="noConversion"/>
  </si>
  <si>
    <t>Line ID</t>
    <phoneticPr fontId="9" type="noConversion"/>
  </si>
  <si>
    <t>行動電話</t>
    <phoneticPr fontId="9" type="noConversion"/>
  </si>
  <si>
    <t>ex: 0900-001002</t>
    <phoneticPr fontId="9" type="noConversion"/>
  </si>
  <si>
    <t>戶籍地址</t>
    <phoneticPr fontId="9" type="noConversion"/>
  </si>
  <si>
    <t>戶籍電話</t>
    <phoneticPr fontId="9" type="noConversion"/>
  </si>
  <si>
    <t>住家地址</t>
    <phoneticPr fontId="9" type="noConversion"/>
  </si>
  <si>
    <t xml:space="preserve"> 同戶籍</t>
    <phoneticPr fontId="9" type="noConversion"/>
  </si>
  <si>
    <t>住家電話</t>
    <phoneticPr fontId="9" type="noConversion"/>
  </si>
  <si>
    <t>公司名稱</t>
    <phoneticPr fontId="9" type="noConversion"/>
  </si>
  <si>
    <t>公司電話</t>
    <phoneticPr fontId="9" type="noConversion"/>
  </si>
  <si>
    <t>職稱</t>
    <phoneticPr fontId="9" type="noConversion"/>
  </si>
  <si>
    <t>公司地址</t>
    <phoneticPr fontId="9" type="noConversion"/>
  </si>
  <si>
    <t>年資</t>
    <phoneticPr fontId="9" type="noConversion"/>
  </si>
  <si>
    <t>年  月</t>
    <phoneticPr fontId="9" type="noConversion"/>
  </si>
  <si>
    <t>月薪</t>
    <phoneticPr fontId="9" type="noConversion"/>
  </si>
  <si>
    <t>萬</t>
    <phoneticPr fontId="9" type="noConversion"/>
  </si>
  <si>
    <t>資金用途</t>
    <phoneticPr fontId="1" type="noConversion"/>
  </si>
  <si>
    <t>手機電信公司</t>
    <phoneticPr fontId="9" type="noConversion"/>
  </si>
  <si>
    <t>照會時間</t>
    <phoneticPr fontId="9" type="noConversion"/>
  </si>
  <si>
    <t>分期項目</t>
    <phoneticPr fontId="1" type="noConversion"/>
  </si>
  <si>
    <t xml:space="preserve">同戶籍 </t>
    <phoneticPr fontId="9" type="noConversion"/>
  </si>
  <si>
    <t>連帶保證人</t>
    <phoneticPr fontId="1" type="noConversion"/>
  </si>
  <si>
    <t>超籍專使用</t>
    <phoneticPr fontId="1" type="noConversion"/>
  </si>
  <si>
    <t>963</t>
    <phoneticPr fontId="1" type="noConversion"/>
  </si>
  <si>
    <t>796</t>
    <phoneticPr fontId="1" type="noConversion"/>
  </si>
  <si>
    <t>685</t>
    <phoneticPr fontId="1" type="noConversion"/>
  </si>
  <si>
    <t>547</t>
    <phoneticPr fontId="1" type="noConversion"/>
  </si>
  <si>
    <t>維力商品專</t>
    <phoneticPr fontId="1" type="noConversion"/>
  </si>
  <si>
    <t>維力機車專</t>
    <phoneticPr fontId="1" type="noConversion"/>
  </si>
  <si>
    <t>(U114/10版)</t>
    <phoneticPr fontId="9" type="noConversion"/>
  </si>
  <si>
    <t>保密</t>
  </si>
  <si>
    <t>家用</t>
    <phoneticPr fontId="1" type="noConversion"/>
  </si>
  <si>
    <t>詹馥慈</t>
    <phoneticPr fontId="1" type="noConversion"/>
  </si>
  <si>
    <t>維力機車專</t>
  </si>
  <si>
    <t>中國信託</t>
    <phoneticPr fontId="1" type="noConversion"/>
  </si>
  <si>
    <t>安和分行</t>
    <phoneticPr fontId="1" type="noConversion"/>
  </si>
  <si>
    <t>075/09/06</t>
    <phoneticPr fontId="1" type="noConversion"/>
  </si>
  <si>
    <t>106/10/10 換</t>
    <phoneticPr fontId="1" type="noConversion"/>
  </si>
  <si>
    <t>北市</t>
    <phoneticPr fontId="1" type="noConversion"/>
  </si>
  <si>
    <t>K222192205</t>
    <phoneticPr fontId="1" type="noConversion"/>
  </si>
  <si>
    <t>臺北市大安區匹維路154巷29號四樓</t>
    <phoneticPr fontId="1" type="noConversion"/>
  </si>
  <si>
    <t>0955-090675</t>
    <phoneticPr fontId="1" type="noConversion"/>
  </si>
  <si>
    <t>02-27189090</t>
    <phoneticPr fontId="1" type="noConversion"/>
  </si>
  <si>
    <t>0955-389338</t>
    <phoneticPr fontId="1" type="noConversion"/>
  </si>
  <si>
    <t>陳依緯</t>
    <phoneticPr fontId="1" type="noConversion"/>
  </si>
  <si>
    <t>解志強</t>
    <phoneticPr fontId="1" type="noConversion"/>
  </si>
  <si>
    <t>配偶</t>
    <phoneticPr fontId="1" type="noConversion"/>
  </si>
  <si>
    <t>0980-712623</t>
    <phoneticPr fontId="1" type="noConversion"/>
  </si>
  <si>
    <t>朋友</t>
    <phoneticPr fontId="1" type="noConversion"/>
  </si>
  <si>
    <t>臺北市松山區南京東路四段77號2樓</t>
    <phoneticPr fontId="1" type="noConversion"/>
  </si>
  <si>
    <t>遠傳電信</t>
  </si>
  <si>
    <t>1年 月</t>
    <phoneticPr fontId="1" type="noConversion"/>
  </si>
  <si>
    <t>4.5萬</t>
    <phoneticPr fontId="1" type="noConversion"/>
  </si>
  <si>
    <t>牙助</t>
    <phoneticPr fontId="1" type="noConversion"/>
  </si>
  <si>
    <t>MAY-5113</t>
    <phoneticPr fontId="1" type="noConversion"/>
  </si>
  <si>
    <t>山葉機車</t>
    <phoneticPr fontId="1" type="noConversion"/>
  </si>
  <si>
    <t>其它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</si>
</sst>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10"/>
      <color indexed="81"/>
      <name val="細明體"/>
      <family val="3"/>
      <charset val="136"/>
    </font>
    <font>
      <sz val="12"/>
      <color theme="0"/>
      <name val="標楷體"/>
      <family val="4"/>
      <charset val="136"/>
    </font>
    <font>
      <sz val="18"/>
      <color theme="1"/>
      <name val="標楷體"/>
      <family val="4"/>
      <charset val="136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01">
    <xf numFmtId="0" fontId="0" fillId="0" borderId="0" xfId="0">
      <alignment vertical="center"/>
    </xf>
    <xf numFmtId="49" fontId="2" fillId="0" borderId="13" xfId="0" applyNumberFormat="1" applyFont="1" applyBorder="1" applyAlignment="1" applyProtection="1">
      <alignment horizontal="center" vertical="center"/>
      <protection locked="0"/>
    </xf>
    <xf numFmtId="49" fontId="2" fillId="0" borderId="0" xfId="0" applyNumberFormat="1" applyFont="1">
      <alignment vertical="center"/>
    </xf>
    <xf numFmtId="49" fontId="2" fillId="0" borderId="31" xfId="0" applyNumberFormat="1" applyFont="1" applyBorder="1" applyAlignment="1" applyProtection="1">
      <alignment horizontal="center" vertical="center"/>
      <protection locked="0"/>
    </xf>
    <xf numFmtId="49" fontId="2" fillId="0" borderId="32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49" fontId="2" fillId="7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2" xfId="0" applyNumberFormat="1" applyFont="1" applyBorder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2" borderId="6" xfId="0" applyNumberFormat="1" applyFont="1" applyFill="1" applyBorder="1">
      <alignment vertical="center"/>
    </xf>
    <xf numFmtId="49" fontId="2" fillId="2" borderId="3" xfId="0" applyNumberFormat="1" applyFont="1" applyFill="1" applyBorder="1">
      <alignment vertical="center"/>
    </xf>
    <xf numFmtId="49" fontId="2" fillId="2" borderId="12" xfId="0" applyNumberFormat="1" applyFont="1" applyFill="1" applyBorder="1">
      <alignment vertical="center"/>
    </xf>
    <xf numFmtId="49" fontId="2" fillId="2" borderId="9" xfId="0" applyNumberFormat="1" applyFont="1" applyFill="1" applyBorder="1">
      <alignment vertical="center"/>
    </xf>
    <xf numFmtId="49" fontId="2" fillId="0" borderId="3" xfId="0" applyNumberFormat="1" applyFont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2" fillId="5" borderId="7" xfId="0" applyNumberFormat="1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49" fontId="2" fillId="2" borderId="0" xfId="0" applyNumberFormat="1" applyFont="1" applyFill="1">
      <alignment vertical="center"/>
    </xf>
    <xf numFmtId="49" fontId="2" fillId="6" borderId="6" xfId="0" applyNumberFormat="1" applyFont="1" applyFill="1" applyBorder="1" applyAlignment="1">
      <alignment horizontal="center" vertical="center"/>
    </xf>
    <xf numFmtId="49" fontId="2" fillId="6" borderId="7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>
      <alignment vertical="center"/>
    </xf>
    <xf numFmtId="49" fontId="2" fillId="3" borderId="3" xfId="0" applyNumberFormat="1" applyFont="1" applyFill="1" applyBorder="1">
      <alignment vertical="center"/>
    </xf>
    <xf numFmtId="49" fontId="2" fillId="3" borderId="7" xfId="0" applyNumberFormat="1" applyFont="1" applyFill="1" applyBorder="1">
      <alignment vertical="center"/>
    </xf>
    <xf numFmtId="49" fontId="2" fillId="3" borderId="5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2" fillId="0" borderId="23" xfId="0" applyNumberFormat="1" applyFont="1" applyBorder="1" applyAlignment="1" applyProtection="1">
      <alignment horizontal="center" vertical="center"/>
      <protection locked="0"/>
    </xf>
    <xf numFmtId="49" fontId="2" fillId="0" borderId="4" xfId="0" applyNumberFormat="1" applyFont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>
      <alignment vertical="center"/>
    </xf>
    <xf numFmtId="49" fontId="2" fillId="2" borderId="5" xfId="0" applyNumberFormat="1" applyFont="1" applyFill="1" applyBorder="1" applyAlignment="1">
      <alignment vertical="center" shrinkToFit="1"/>
    </xf>
    <xf numFmtId="49" fontId="2" fillId="0" borderId="33" xfId="0" applyNumberFormat="1" applyFont="1" applyBorder="1" applyAlignment="1" applyProtection="1">
      <alignment horizontal="center" vertical="center"/>
      <protection locked="0"/>
    </xf>
    <xf numFmtId="49" fontId="2" fillId="0" borderId="5" xfId="1" applyNumberFormat="1" applyFont="1" applyBorder="1" applyAlignment="1" applyProtection="1">
      <alignment horizontal="center" vertical="center"/>
      <protection locked="0"/>
    </xf>
    <xf numFmtId="49" fontId="2" fillId="0" borderId="34" xfId="0" applyNumberFormat="1" applyFont="1" applyBorder="1" applyAlignment="1" applyProtection="1">
      <alignment horizontal="center" vertical="center"/>
      <protection locked="0"/>
    </xf>
    <xf numFmtId="49" fontId="2" fillId="2" borderId="7" xfId="1" applyNumberFormat="1" applyFont="1" applyFill="1" applyBorder="1">
      <alignment vertical="center"/>
    </xf>
    <xf numFmtId="49" fontId="2" fillId="2" borderId="5" xfId="1" applyNumberFormat="1" applyFont="1" applyFill="1" applyBorder="1">
      <alignment vertical="center"/>
    </xf>
    <xf numFmtId="49" fontId="2" fillId="2" borderId="5" xfId="0" applyNumberFormat="1" applyFont="1" applyFill="1" applyBorder="1" applyAlignment="1">
      <alignment horizontal="left" vertical="center"/>
    </xf>
    <xf numFmtId="49" fontId="2" fillId="0" borderId="8" xfId="0" applyNumberFormat="1" applyFont="1" applyBorder="1" applyAlignment="1" applyProtection="1">
      <alignment horizontal="center" vertical="center" shrinkToFit="1"/>
      <protection locked="0"/>
    </xf>
    <xf numFmtId="49" fontId="2" fillId="0" borderId="3" xfId="0" applyNumberFormat="1" applyFont="1" applyBorder="1" applyAlignment="1" applyProtection="1">
      <alignment horizontal="center" vertical="center" shrinkToFit="1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49" fontId="2" fillId="0" borderId="9" xfId="0" applyNumberFormat="1" applyFont="1" applyBorder="1" applyAlignment="1" applyProtection="1">
      <alignment horizontal="center" vertical="center"/>
      <protection locked="0"/>
    </xf>
    <xf numFmtId="49" fontId="2" fillId="0" borderId="8" xfId="0" applyNumberFormat="1" applyFont="1" applyBorder="1" applyAlignment="1" applyProtection="1">
      <alignment horizontal="center" vertical="center"/>
      <protection locked="0"/>
    </xf>
    <xf numFmtId="49" fontId="2" fillId="0" borderId="22" xfId="0" applyNumberFormat="1" applyFont="1" applyBorder="1" applyAlignment="1" applyProtection="1">
      <alignment horizontal="center" vertical="center"/>
      <protection locked="0"/>
    </xf>
    <xf numFmtId="49" fontId="2" fillId="0" borderId="8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2" borderId="35" xfId="0" applyNumberFormat="1" applyFont="1" applyFill="1" applyBorder="1" applyAlignment="1">
      <alignment horizontal="left" vertical="center" wrapText="1"/>
    </xf>
    <xf numFmtId="49" fontId="2" fillId="0" borderId="23" xfId="0" applyNumberFormat="1" applyFont="1" applyBorder="1" applyAlignment="1" applyProtection="1">
      <alignment horizontal="center" vertical="center"/>
      <protection locked="0"/>
    </xf>
    <xf numFmtId="49" fontId="2" fillId="0" borderId="8" xfId="0" applyNumberFormat="1" applyFont="1" applyBorder="1" applyAlignment="1" applyProtection="1">
      <alignment horizontal="center" vertical="center" shrinkToFit="1"/>
      <protection locked="0"/>
    </xf>
    <xf numFmtId="49" fontId="2" fillId="0" borderId="24" xfId="0" applyNumberFormat="1" applyFont="1" applyBorder="1" applyAlignment="1" applyProtection="1">
      <alignment horizontal="center" vertical="center" shrinkToFit="1"/>
      <protection locked="0"/>
    </xf>
    <xf numFmtId="49" fontId="2" fillId="0" borderId="25" xfId="0" applyNumberFormat="1" applyFont="1" applyBorder="1" applyAlignment="1" applyProtection="1">
      <alignment horizontal="center" vertical="center" shrinkToFit="1"/>
      <protection locked="0"/>
    </xf>
    <xf numFmtId="49" fontId="2" fillId="0" borderId="26" xfId="0" applyNumberFormat="1" applyFont="1" applyBorder="1" applyAlignment="1" applyProtection="1">
      <alignment horizontal="center" vertical="center" shrinkToFit="1"/>
      <protection locked="0"/>
    </xf>
    <xf numFmtId="49" fontId="2" fillId="0" borderId="26" xfId="0" applyNumberFormat="1" applyFont="1" applyBorder="1" applyAlignment="1" applyProtection="1">
      <alignment horizontal="center" vertical="center"/>
      <protection locked="0"/>
    </xf>
    <xf numFmtId="49" fontId="2" fillId="0" borderId="27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2" xfId="0" applyNumberFormat="1" applyFont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center" vertical="center"/>
    </xf>
    <xf numFmtId="49" fontId="2" fillId="2" borderId="21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 applyProtection="1">
      <alignment horizontal="center" vertical="center" shrinkToFit="1"/>
      <protection locked="0"/>
    </xf>
    <xf numFmtId="49" fontId="2" fillId="0" borderId="30" xfId="0" applyNumberFormat="1" applyFont="1" applyBorder="1" applyAlignment="1" applyProtection="1">
      <alignment horizontal="center" vertical="center" shrinkToFit="1"/>
      <protection locked="0"/>
    </xf>
    <xf numFmtId="49" fontId="2" fillId="0" borderId="11" xfId="0" applyNumberFormat="1" applyFont="1" applyBorder="1" applyAlignment="1" applyProtection="1">
      <alignment horizontal="center" vertical="center" shrinkToFit="1"/>
      <protection locked="0"/>
    </xf>
    <xf numFmtId="49" fontId="7" fillId="0" borderId="0" xfId="0" applyNumberFormat="1" applyFont="1" applyAlignment="1">
      <alignment horizontal="center" vertical="center"/>
    </xf>
    <xf numFmtId="49" fontId="2" fillId="0" borderId="27" xfId="0" applyNumberFormat="1" applyFont="1" applyBorder="1" applyAlignment="1" applyProtection="1">
      <alignment horizontal="center" vertical="center" shrinkToFit="1"/>
      <protection locked="0"/>
    </xf>
    <xf numFmtId="49" fontId="2" fillId="0" borderId="22" xfId="0" applyNumberFormat="1" applyFont="1" applyBorder="1" applyAlignment="1" applyProtection="1">
      <alignment horizontal="center" vertical="center" shrinkToFit="1"/>
      <protection locked="0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 applyProtection="1">
      <alignment horizontal="center" vertical="center"/>
      <protection locked="0"/>
    </xf>
    <xf numFmtId="49" fontId="2" fillId="0" borderId="0" xfId="0" quotePrefix="1" applyNumberFormat="1" applyFont="1" applyAlignment="1">
      <alignment horizontal="center" vertical="center"/>
    </xf>
    <xf numFmtId="49" fontId="2" fillId="0" borderId="10" xfId="0" applyNumberFormat="1" applyFont="1" applyBorder="1" applyAlignment="1" applyProtection="1">
      <alignment horizontal="center" vertical="center"/>
      <protection locked="0"/>
    </xf>
    <xf numFmtId="49" fontId="2" fillId="0" borderId="29" xfId="0" applyNumberFormat="1" applyFont="1" applyBorder="1" applyAlignment="1" applyProtection="1">
      <alignment horizontal="center" vertical="center"/>
      <protection locked="0"/>
    </xf>
    <xf numFmtId="49" fontId="2" fillId="6" borderId="19" xfId="0" applyNumberFormat="1" applyFont="1" applyFill="1" applyBorder="1" applyAlignment="1">
      <alignment horizontal="center" vertical="center"/>
    </xf>
    <xf numFmtId="49" fontId="2" fillId="6" borderId="20" xfId="0" applyNumberFormat="1" applyFont="1" applyFill="1" applyBorder="1" applyAlignment="1">
      <alignment horizontal="center" vertical="center"/>
    </xf>
    <xf numFmtId="49" fontId="2" fillId="6" borderId="21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 applyProtection="1">
      <alignment horizontal="center" vertical="center"/>
      <protection locked="0"/>
    </xf>
    <xf numFmtId="49" fontId="2" fillId="0" borderId="5" xfId="1" applyNumberFormat="1" applyFont="1" applyBorder="1" applyAlignment="1" applyProtection="1">
      <alignment horizontal="center" vertical="center" shrinkToFit="1"/>
      <protection locked="0"/>
    </xf>
    <xf numFmtId="49" fontId="2" fillId="3" borderId="19" xfId="0" applyNumberFormat="1" applyFont="1" applyFill="1" applyBorder="1" applyAlignment="1">
      <alignment horizontal="center" vertical="center"/>
    </xf>
    <xf numFmtId="49" fontId="2" fillId="3" borderId="20" xfId="0" applyNumberFormat="1" applyFont="1" applyFill="1" applyBorder="1" applyAlignment="1">
      <alignment horizontal="center" vertical="center"/>
    </xf>
    <xf numFmtId="49" fontId="2" fillId="3" borderId="21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 applyProtection="1">
      <alignment horizontal="center" vertical="center" shrinkToFit="1"/>
      <protection locked="0"/>
    </xf>
    <xf numFmtId="49" fontId="2" fillId="5" borderId="19" xfId="0" applyNumberFormat="1" applyFont="1" applyFill="1" applyBorder="1" applyAlignment="1">
      <alignment horizontal="center" vertical="center"/>
    </xf>
    <xf numFmtId="49" fontId="2" fillId="5" borderId="20" xfId="0" applyNumberFormat="1" applyFont="1" applyFill="1" applyBorder="1" applyAlignment="1">
      <alignment horizontal="center" vertical="center"/>
    </xf>
    <xf numFmtId="49" fontId="2" fillId="5" borderId="28" xfId="0" applyNumberFormat="1" applyFont="1" applyFill="1" applyBorder="1" applyAlignment="1">
      <alignment horizontal="center" vertical="center"/>
    </xf>
    <xf numFmtId="49" fontId="2" fillId="0" borderId="11" xfId="0" applyNumberFormat="1" applyFont="1" applyBorder="1" applyAlignment="1" applyProtection="1">
      <alignment horizontal="center" vertical="center"/>
      <protection locked="0"/>
    </xf>
    <xf numFmtId="49" fontId="2" fillId="0" borderId="8" xfId="0" applyNumberFormat="1" applyFont="1" applyBorder="1" applyAlignment="1">
      <alignment horizontal="left" vertical="center"/>
    </xf>
    <xf numFmtId="49" fontId="2" fillId="0" borderId="23" xfId="0" applyNumberFormat="1" applyFont="1" applyBorder="1" applyAlignment="1">
      <alignment horizontal="left" vertical="center"/>
    </xf>
    <xf numFmtId="49" fontId="2" fillId="0" borderId="8" xfId="0" quotePrefix="1" applyNumberFormat="1" applyFont="1" applyBorder="1" applyAlignment="1" applyProtection="1">
      <alignment horizontal="center" vertical="center"/>
      <protection locked="0"/>
    </xf>
    <xf numFmtId="49" fontId="2" fillId="0" borderId="24" xfId="0" quotePrefix="1" applyNumberFormat="1" applyFont="1" applyBorder="1" applyAlignment="1" applyProtection="1">
      <alignment horizontal="center" vertical="center"/>
      <protection locked="0"/>
    </xf>
    <xf numFmtId="49" fontId="2" fillId="0" borderId="23" xfId="0" quotePrefix="1" applyNumberFormat="1" applyFont="1" applyBorder="1" applyAlignment="1" applyProtection="1">
      <alignment horizontal="center" vertical="center"/>
      <protection locked="0"/>
    </xf>
    <xf numFmtId="49" fontId="2" fillId="6" borderId="10" xfId="0" quotePrefix="1" applyNumberFormat="1" applyFont="1" applyFill="1" applyBorder="1" applyAlignment="1">
      <alignment horizontal="center" vertical="center"/>
    </xf>
    <xf numFmtId="0" fontId="2" fillId="6" borderId="30" xfId="0" quotePrefix="1" applyFont="1" applyFill="1" applyBorder="1" applyAlignment="1">
      <alignment horizontal="center" vertical="center"/>
    </xf>
    <xf numFmtId="0" fontId="2" fillId="6" borderId="11" xfId="0" quotePrefix="1" applyFont="1" applyFill="1" applyBorder="1" applyAlignment="1">
      <alignment horizontal="center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Q52"/>
  <sheetViews>
    <sheetView tabSelected="1" topLeftCell="A7" zoomScale="115" zoomScaleNormal="115" workbookViewId="0">
      <selection activeCell="H17" sqref="H17:I17"/>
    </sheetView>
  </sheetViews>
  <sheetFormatPr defaultColWidth="9" defaultRowHeight="16.5" x14ac:dyDescent="0.25"/>
  <cols>
    <col min="1" max="1" width="2.5" style="2" customWidth="1"/>
    <col min="2" max="2" width="16.125" style="2" bestFit="1" customWidth="1"/>
    <col min="3" max="3" width="9" style="2" customWidth="1"/>
    <col min="4" max="4" width="9" style="2"/>
    <col min="5" max="5" width="13.875" style="2" bestFit="1" customWidth="1"/>
    <col min="6" max="8" width="9" style="2"/>
    <col min="9" max="9" width="9" style="2" customWidth="1"/>
    <col min="10" max="10" width="9" style="2"/>
    <col min="11" max="11" width="10.5" style="2" bestFit="1" customWidth="1"/>
    <col min="12" max="16" width="9" style="2"/>
    <col min="17" max="17" width="9" style="2" hidden="1" customWidth="1"/>
    <col min="18" max="19" width="13.875" style="2" hidden="1" customWidth="1"/>
    <col min="20" max="20" width="9.5" style="2" hidden="1" customWidth="1"/>
    <col min="21" max="21" width="8.875" style="2" hidden="1" customWidth="1"/>
    <col min="22" max="22" width="9" style="2" hidden="1" customWidth="1"/>
    <col min="23" max="23" width="13.875" style="2" hidden="1" customWidth="1"/>
    <col min="24" max="43" width="9" style="2" hidden="1" customWidth="1"/>
    <col min="44" max="16384" width="9" style="2"/>
  </cols>
  <sheetData>
    <row r="1" spans="2:43" hidden="1" x14ac:dyDescent="0.25"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51</v>
      </c>
      <c r="W1" s="2" t="s">
        <v>90</v>
      </c>
      <c r="Z1" s="2" t="s">
        <v>7</v>
      </c>
      <c r="AA1" s="2" t="s">
        <v>9</v>
      </c>
      <c r="AB1" s="2" t="s">
        <v>10</v>
      </c>
      <c r="AC1" s="2" t="s">
        <v>11</v>
      </c>
      <c r="AD1" s="2" t="s">
        <v>12</v>
      </c>
      <c r="AE1" s="2" t="s">
        <v>13</v>
      </c>
      <c r="AF1" s="2" t="s">
        <v>14</v>
      </c>
      <c r="AG1" s="2" t="s">
        <v>15</v>
      </c>
      <c r="AH1" s="2" t="s">
        <v>16</v>
      </c>
      <c r="AI1" s="2" t="s">
        <v>17</v>
      </c>
      <c r="AJ1" s="2" t="s">
        <v>95</v>
      </c>
      <c r="AK1" s="2" t="s">
        <v>96</v>
      </c>
      <c r="AL1" s="2" t="s">
        <v>94</v>
      </c>
      <c r="AM1" s="2" t="s">
        <v>99</v>
      </c>
      <c r="AN1" s="2" t="s">
        <v>100</v>
      </c>
      <c r="AO1" s="2" t="s">
        <v>101</v>
      </c>
      <c r="AP1" s="2" t="s">
        <v>102</v>
      </c>
      <c r="AQ1" s="2" t="s">
        <v>103</v>
      </c>
    </row>
    <row r="2" spans="2:43" hidden="1" x14ac:dyDescent="0.25">
      <c r="K2" s="6"/>
      <c r="Q2" s="2" t="s">
        <v>52</v>
      </c>
      <c r="R2" s="2" t="s">
        <v>53</v>
      </c>
      <c r="S2" s="2" t="s">
        <v>54</v>
      </c>
      <c r="T2" s="2" t="s">
        <v>55</v>
      </c>
      <c r="U2" s="2" t="s">
        <v>6</v>
      </c>
      <c r="V2" s="2" t="s">
        <v>18</v>
      </c>
      <c r="W2" s="2" t="s">
        <v>91</v>
      </c>
      <c r="Y2" s="2" t="s">
        <v>18</v>
      </c>
      <c r="Z2" s="2">
        <f>Z25</f>
        <v>5394</v>
      </c>
      <c r="AA2" s="2">
        <f t="shared" ref="AA2:AQ7" si="0">AA25</f>
        <v>7192</v>
      </c>
      <c r="AB2" s="2">
        <f t="shared" si="0"/>
        <v>8990</v>
      </c>
      <c r="AC2" s="2">
        <f t="shared" si="0"/>
        <v>10788</v>
      </c>
      <c r="AD2" s="2">
        <f t="shared" si="0"/>
        <v>12586</v>
      </c>
      <c r="AE2" s="2">
        <f t="shared" si="0"/>
        <v>14384</v>
      </c>
      <c r="AF2" s="2">
        <f t="shared" si="0"/>
        <v>16182</v>
      </c>
      <c r="AG2" s="2">
        <f t="shared" si="0"/>
        <v>17980</v>
      </c>
      <c r="AH2" s="2">
        <f t="shared" si="0"/>
        <v>19778</v>
      </c>
      <c r="AI2" s="2">
        <f t="shared" si="0"/>
        <v>21576</v>
      </c>
      <c r="AJ2" s="2">
        <f t="shared" si="0"/>
        <v>23374</v>
      </c>
      <c r="AK2" s="2">
        <f t="shared" si="0"/>
        <v>25172</v>
      </c>
      <c r="AL2" s="2">
        <f t="shared" si="0"/>
        <v>26970</v>
      </c>
      <c r="AM2" s="2">
        <f t="shared" si="0"/>
        <v>28768</v>
      </c>
      <c r="AN2" s="2">
        <f t="shared" si="0"/>
        <v>30566</v>
      </c>
      <c r="AO2" s="2">
        <f t="shared" si="0"/>
        <v>32364</v>
      </c>
      <c r="AP2" s="2">
        <f t="shared" si="0"/>
        <v>34162</v>
      </c>
      <c r="AQ2" s="2">
        <f t="shared" si="0"/>
        <v>35960</v>
      </c>
    </row>
    <row r="3" spans="2:43" hidden="1" x14ac:dyDescent="0.25">
      <c r="K3" s="6"/>
      <c r="Q3" s="2" t="s">
        <v>56</v>
      </c>
      <c r="R3" s="2" t="s">
        <v>57</v>
      </c>
      <c r="S3" s="2" t="s">
        <v>58</v>
      </c>
      <c r="T3" s="2" t="s">
        <v>59</v>
      </c>
      <c r="U3" s="2" t="s">
        <v>8</v>
      </c>
      <c r="V3" s="2" t="s">
        <v>20</v>
      </c>
      <c r="W3" s="2" t="s">
        <v>92</v>
      </c>
      <c r="Y3" s="2" t="s">
        <v>20</v>
      </c>
      <c r="Z3" s="2">
        <f t="shared" ref="Z3:AO7" si="1">Z26</f>
        <v>3729</v>
      </c>
      <c r="AA3" s="2">
        <f t="shared" si="1"/>
        <v>4972</v>
      </c>
      <c r="AB3" s="2">
        <f t="shared" si="1"/>
        <v>6215</v>
      </c>
      <c r="AC3" s="2">
        <f t="shared" si="1"/>
        <v>7458</v>
      </c>
      <c r="AD3" s="2">
        <f t="shared" si="1"/>
        <v>8701</v>
      </c>
      <c r="AE3" s="2">
        <f t="shared" si="1"/>
        <v>9944</v>
      </c>
      <c r="AF3" s="2">
        <f t="shared" si="1"/>
        <v>11187</v>
      </c>
      <c r="AG3" s="2">
        <f t="shared" si="1"/>
        <v>12430</v>
      </c>
      <c r="AH3" s="2">
        <f t="shared" si="1"/>
        <v>13673</v>
      </c>
      <c r="AI3" s="2">
        <f t="shared" si="1"/>
        <v>14916</v>
      </c>
      <c r="AJ3" s="2">
        <f t="shared" si="1"/>
        <v>16159</v>
      </c>
      <c r="AK3" s="2">
        <f t="shared" si="1"/>
        <v>17402</v>
      </c>
      <c r="AL3" s="2">
        <f t="shared" si="1"/>
        <v>18645</v>
      </c>
      <c r="AM3" s="2">
        <f t="shared" si="1"/>
        <v>19888</v>
      </c>
      <c r="AN3" s="2">
        <f t="shared" si="1"/>
        <v>21131</v>
      </c>
      <c r="AO3" s="2">
        <f t="shared" si="1"/>
        <v>22374</v>
      </c>
      <c r="AP3" s="2">
        <f t="shared" si="0"/>
        <v>23617</v>
      </c>
      <c r="AQ3" s="2">
        <f t="shared" si="0"/>
        <v>24860</v>
      </c>
    </row>
    <row r="4" spans="2:43" hidden="1" x14ac:dyDescent="0.25">
      <c r="K4" s="6"/>
      <c r="R4" s="2" t="s">
        <v>60</v>
      </c>
      <c r="S4" s="2" t="s">
        <v>61</v>
      </c>
      <c r="T4" s="2" t="s">
        <v>62</v>
      </c>
      <c r="U4" s="2" t="s">
        <v>10</v>
      </c>
      <c r="V4" s="2" t="s">
        <v>22</v>
      </c>
      <c r="W4" s="2" t="s">
        <v>93</v>
      </c>
      <c r="Y4" s="2" t="s">
        <v>22</v>
      </c>
      <c r="Z4" s="2">
        <f t="shared" si="1"/>
        <v>2889</v>
      </c>
      <c r="AA4" s="2">
        <f t="shared" si="0"/>
        <v>3852</v>
      </c>
      <c r="AB4" s="2">
        <f t="shared" si="0"/>
        <v>4815</v>
      </c>
      <c r="AC4" s="2">
        <f t="shared" si="0"/>
        <v>5778</v>
      </c>
      <c r="AD4" s="2">
        <f t="shared" si="0"/>
        <v>6741</v>
      </c>
      <c r="AE4" s="2">
        <f t="shared" si="0"/>
        <v>7704</v>
      </c>
      <c r="AF4" s="2">
        <f t="shared" si="0"/>
        <v>8667</v>
      </c>
      <c r="AG4" s="2">
        <f t="shared" si="0"/>
        <v>9630</v>
      </c>
      <c r="AH4" s="2">
        <f t="shared" si="0"/>
        <v>10593</v>
      </c>
      <c r="AI4" s="2">
        <f t="shared" si="0"/>
        <v>11556</v>
      </c>
      <c r="AJ4" s="2">
        <f t="shared" si="0"/>
        <v>12519</v>
      </c>
      <c r="AK4" s="2">
        <f t="shared" si="0"/>
        <v>13482</v>
      </c>
      <c r="AL4" s="2">
        <f t="shared" si="0"/>
        <v>14445</v>
      </c>
      <c r="AM4" s="2">
        <f t="shared" si="0"/>
        <v>15408</v>
      </c>
      <c r="AN4" s="2">
        <f t="shared" si="0"/>
        <v>16371</v>
      </c>
      <c r="AO4" s="2">
        <f t="shared" si="0"/>
        <v>17334</v>
      </c>
      <c r="AP4" s="2">
        <f t="shared" si="0"/>
        <v>18297</v>
      </c>
      <c r="AQ4" s="2">
        <f t="shared" si="0"/>
        <v>19260</v>
      </c>
    </row>
    <row r="5" spans="2:43" hidden="1" x14ac:dyDescent="0.25">
      <c r="K5" s="6"/>
      <c r="R5" s="2" t="s">
        <v>63</v>
      </c>
      <c r="S5" s="2" t="s">
        <v>64</v>
      </c>
      <c r="T5" s="2" t="s">
        <v>65</v>
      </c>
      <c r="U5" s="2" t="s">
        <v>11</v>
      </c>
      <c r="V5" s="2" t="s">
        <v>24</v>
      </c>
      <c r="W5" s="2" t="s">
        <v>5</v>
      </c>
      <c r="Y5" s="2" t="s">
        <v>24</v>
      </c>
      <c r="Z5" s="2">
        <f t="shared" si="1"/>
        <v>2388</v>
      </c>
      <c r="AA5" s="2">
        <f t="shared" si="0"/>
        <v>3184</v>
      </c>
      <c r="AB5" s="2">
        <f t="shared" si="0"/>
        <v>3980</v>
      </c>
      <c r="AC5" s="2">
        <f t="shared" si="0"/>
        <v>4776</v>
      </c>
      <c r="AD5" s="2">
        <f t="shared" si="0"/>
        <v>5572</v>
      </c>
      <c r="AE5" s="2">
        <f t="shared" si="0"/>
        <v>6368</v>
      </c>
      <c r="AF5" s="2">
        <f t="shared" si="0"/>
        <v>7164</v>
      </c>
      <c r="AG5" s="2">
        <f t="shared" si="0"/>
        <v>7960</v>
      </c>
      <c r="AH5" s="2">
        <f t="shared" si="0"/>
        <v>8756</v>
      </c>
      <c r="AI5" s="2">
        <f t="shared" si="0"/>
        <v>9552</v>
      </c>
      <c r="AJ5" s="2">
        <f t="shared" si="0"/>
        <v>10348</v>
      </c>
      <c r="AK5" s="2">
        <f t="shared" si="0"/>
        <v>11144</v>
      </c>
      <c r="AL5" s="2">
        <f t="shared" si="0"/>
        <v>11940</v>
      </c>
      <c r="AM5" s="2">
        <f t="shared" si="0"/>
        <v>12736</v>
      </c>
      <c r="AN5" s="2">
        <f t="shared" si="0"/>
        <v>13532</v>
      </c>
      <c r="AO5" s="2">
        <f t="shared" si="0"/>
        <v>14328</v>
      </c>
      <c r="AP5" s="2">
        <f t="shared" si="0"/>
        <v>15124</v>
      </c>
      <c r="AQ5" s="2">
        <f t="shared" si="0"/>
        <v>15920</v>
      </c>
    </row>
    <row r="6" spans="2:43" hidden="1" x14ac:dyDescent="0.25">
      <c r="K6" s="6"/>
      <c r="R6" s="2" t="s">
        <v>66</v>
      </c>
      <c r="T6" s="2" t="s">
        <v>67</v>
      </c>
      <c r="U6" s="2" t="s">
        <v>12</v>
      </c>
      <c r="V6" s="2" t="s">
        <v>26</v>
      </c>
      <c r="Y6" s="2" t="s">
        <v>26</v>
      </c>
      <c r="Z6" s="2">
        <f t="shared" si="1"/>
        <v>2055</v>
      </c>
      <c r="AA6" s="2">
        <f t="shared" si="0"/>
        <v>2740</v>
      </c>
      <c r="AB6" s="2">
        <f t="shared" si="0"/>
        <v>3425</v>
      </c>
      <c r="AC6" s="2">
        <f t="shared" si="0"/>
        <v>4110</v>
      </c>
      <c r="AD6" s="2">
        <f t="shared" si="0"/>
        <v>4795</v>
      </c>
      <c r="AE6" s="2">
        <f t="shared" si="0"/>
        <v>5480</v>
      </c>
      <c r="AF6" s="2">
        <f t="shared" si="0"/>
        <v>6165</v>
      </c>
      <c r="AG6" s="2">
        <f t="shared" si="0"/>
        <v>6850</v>
      </c>
      <c r="AH6" s="2">
        <f t="shared" si="0"/>
        <v>7535</v>
      </c>
      <c r="AI6" s="2">
        <f t="shared" si="0"/>
        <v>8220</v>
      </c>
      <c r="AJ6" s="2">
        <f t="shared" si="0"/>
        <v>8905</v>
      </c>
      <c r="AK6" s="2">
        <f t="shared" si="0"/>
        <v>9590</v>
      </c>
      <c r="AL6" s="2">
        <f t="shared" si="0"/>
        <v>10275</v>
      </c>
      <c r="AM6" s="2">
        <f t="shared" si="0"/>
        <v>10960</v>
      </c>
      <c r="AN6" s="2">
        <f t="shared" si="0"/>
        <v>11645</v>
      </c>
      <c r="AO6" s="2">
        <f t="shared" si="0"/>
        <v>12330</v>
      </c>
      <c r="AP6" s="2">
        <f t="shared" si="0"/>
        <v>13015</v>
      </c>
      <c r="AQ6" s="2">
        <f t="shared" si="0"/>
        <v>13700</v>
      </c>
    </row>
    <row r="7" spans="2:43" ht="26.25" thickBot="1" x14ac:dyDescent="0.3">
      <c r="B7" s="65" t="s">
        <v>171</v>
      </c>
      <c r="C7" s="65"/>
      <c r="D7" s="65"/>
      <c r="E7" s="65"/>
      <c r="F7" s="65"/>
      <c r="G7" s="65"/>
      <c r="H7" s="65"/>
      <c r="I7" s="65"/>
      <c r="K7" s="6"/>
      <c r="R7" s="2" t="s">
        <v>68</v>
      </c>
      <c r="U7" s="2" t="s">
        <v>13</v>
      </c>
      <c r="V7" s="2" t="s">
        <v>29</v>
      </c>
      <c r="Y7" s="2" t="s">
        <v>30</v>
      </c>
      <c r="Z7" s="2">
        <f t="shared" si="1"/>
        <v>1641</v>
      </c>
      <c r="AA7" s="2">
        <f t="shared" si="0"/>
        <v>2188</v>
      </c>
      <c r="AB7" s="2">
        <f t="shared" si="0"/>
        <v>2735</v>
      </c>
      <c r="AC7" s="2">
        <f t="shared" si="0"/>
        <v>3282</v>
      </c>
      <c r="AD7" s="2">
        <f t="shared" si="0"/>
        <v>3829</v>
      </c>
      <c r="AE7" s="2">
        <f t="shared" si="0"/>
        <v>4376</v>
      </c>
      <c r="AF7" s="2">
        <f t="shared" si="0"/>
        <v>4923</v>
      </c>
      <c r="AG7" s="2">
        <f t="shared" si="0"/>
        <v>5470</v>
      </c>
      <c r="AH7" s="2">
        <f t="shared" si="0"/>
        <v>6017</v>
      </c>
      <c r="AI7" s="2">
        <f t="shared" si="0"/>
        <v>6564</v>
      </c>
      <c r="AJ7" s="2">
        <f t="shared" si="0"/>
        <v>7111</v>
      </c>
      <c r="AK7" s="2">
        <f t="shared" si="0"/>
        <v>7658</v>
      </c>
      <c r="AL7" s="2">
        <f t="shared" si="0"/>
        <v>8205</v>
      </c>
      <c r="AM7" s="2">
        <f t="shared" si="0"/>
        <v>8752</v>
      </c>
      <c r="AN7" s="2">
        <f t="shared" si="0"/>
        <v>9299</v>
      </c>
      <c r="AO7" s="2">
        <f t="shared" si="0"/>
        <v>9846</v>
      </c>
      <c r="AP7" s="2">
        <f t="shared" si="0"/>
        <v>10393</v>
      </c>
      <c r="AQ7" s="2">
        <f t="shared" si="0"/>
        <v>10940</v>
      </c>
    </row>
    <row r="8" spans="2:43" ht="17.25" thickBot="1" x14ac:dyDescent="0.3">
      <c r="B8" s="7" t="s">
        <v>109</v>
      </c>
      <c r="C8" s="54"/>
      <c r="D8" s="55"/>
      <c r="E8" s="7" t="s">
        <v>175</v>
      </c>
      <c r="F8" s="54" t="s">
        <v>212</v>
      </c>
      <c r="G8" s="55"/>
      <c r="I8" s="40"/>
      <c r="J8" s="8"/>
      <c r="Q8" s="2" t="s">
        <v>198</v>
      </c>
      <c r="R8" s="2" t="s">
        <v>69</v>
      </c>
      <c r="U8" s="2" t="s">
        <v>14</v>
      </c>
    </row>
    <row r="9" spans="2:43" ht="17.25" thickBot="1" x14ac:dyDescent="0.3">
      <c r="B9" s="9"/>
      <c r="C9" s="9"/>
      <c r="D9" s="9"/>
      <c r="E9" s="9"/>
      <c r="F9" s="9"/>
      <c r="G9" s="9"/>
      <c r="H9" s="56" t="s">
        <v>208</v>
      </c>
      <c r="I9" s="56"/>
      <c r="Q9" s="2" t="s">
        <v>206</v>
      </c>
      <c r="R9" s="2" t="s">
        <v>70</v>
      </c>
      <c r="U9" s="2" t="s">
        <v>15</v>
      </c>
    </row>
    <row r="10" spans="2:43" x14ac:dyDescent="0.25">
      <c r="B10" s="57" t="s">
        <v>110</v>
      </c>
      <c r="C10" s="58"/>
      <c r="D10" s="58"/>
      <c r="E10" s="58"/>
      <c r="F10" s="58"/>
      <c r="G10" s="58"/>
      <c r="H10" s="58"/>
      <c r="I10" s="59"/>
      <c r="J10" s="10"/>
      <c r="Q10" s="2" t="s">
        <v>207</v>
      </c>
      <c r="R10" s="2" t="s">
        <v>71</v>
      </c>
      <c r="U10" s="2" t="s">
        <v>16</v>
      </c>
      <c r="Z10" s="2" t="s">
        <v>7</v>
      </c>
      <c r="AA10" s="2" t="s">
        <v>9</v>
      </c>
      <c r="AB10" s="2" t="s">
        <v>10</v>
      </c>
      <c r="AC10" s="2" t="s">
        <v>11</v>
      </c>
      <c r="AD10" s="2" t="s">
        <v>12</v>
      </c>
      <c r="AE10" s="2" t="s">
        <v>13</v>
      </c>
      <c r="AF10" s="2" t="s">
        <v>14</v>
      </c>
      <c r="AG10" s="2" t="s">
        <v>15</v>
      </c>
      <c r="AH10" s="2" t="s">
        <v>16</v>
      </c>
      <c r="AI10" s="2" t="s">
        <v>17</v>
      </c>
      <c r="AJ10" s="2" t="s">
        <v>95</v>
      </c>
      <c r="AK10" s="2" t="s">
        <v>96</v>
      </c>
      <c r="AL10" s="2" t="s">
        <v>94</v>
      </c>
      <c r="AM10" s="2" t="s">
        <v>99</v>
      </c>
      <c r="AN10" s="2" t="s">
        <v>100</v>
      </c>
      <c r="AO10" s="2" t="s">
        <v>101</v>
      </c>
      <c r="AP10" s="2" t="s">
        <v>102</v>
      </c>
      <c r="AQ10" s="2" t="s">
        <v>103</v>
      </c>
    </row>
    <row r="11" spans="2:43" x14ac:dyDescent="0.25">
      <c r="B11" s="11" t="s">
        <v>111</v>
      </c>
      <c r="C11" s="70" t="s">
        <v>211</v>
      </c>
      <c r="D11" s="70"/>
      <c r="E11" s="12" t="s">
        <v>112</v>
      </c>
      <c r="F11" s="70" t="s">
        <v>218</v>
      </c>
      <c r="G11" s="70"/>
      <c r="H11" s="60"/>
      <c r="I11" s="61"/>
      <c r="J11" s="8"/>
      <c r="R11" s="2" t="s">
        <v>72</v>
      </c>
      <c r="U11" s="2" t="s">
        <v>17</v>
      </c>
      <c r="Y11" s="2" t="s">
        <v>18</v>
      </c>
      <c r="Z11" s="2">
        <f>Z34</f>
        <v>32364</v>
      </c>
      <c r="AA11" s="2">
        <f t="shared" ref="AA11:AI11" si="2">AA34</f>
        <v>43152</v>
      </c>
      <c r="AB11" s="2">
        <f t="shared" si="2"/>
        <v>53940</v>
      </c>
      <c r="AC11" s="2">
        <f t="shared" si="2"/>
        <v>64728</v>
      </c>
      <c r="AD11" s="2">
        <f t="shared" si="2"/>
        <v>75516</v>
      </c>
      <c r="AE11" s="2">
        <f t="shared" si="2"/>
        <v>86304</v>
      </c>
      <c r="AF11" s="2">
        <f t="shared" si="2"/>
        <v>97092</v>
      </c>
      <c r="AG11" s="2">
        <f t="shared" si="2"/>
        <v>107880</v>
      </c>
      <c r="AH11" s="2">
        <f t="shared" si="2"/>
        <v>118668</v>
      </c>
      <c r="AI11" s="2">
        <f t="shared" si="2"/>
        <v>129456</v>
      </c>
      <c r="AJ11" s="2">
        <f t="shared" ref="AJ11:AL11" si="3">AJ34</f>
        <v>140244</v>
      </c>
      <c r="AK11" s="2">
        <f t="shared" si="3"/>
        <v>151032</v>
      </c>
      <c r="AL11" s="2">
        <f t="shared" si="3"/>
        <v>161820</v>
      </c>
      <c r="AM11" s="2">
        <f t="shared" ref="AM11:AQ11" si="4">AM34</f>
        <v>172608</v>
      </c>
      <c r="AN11" s="2">
        <f t="shared" si="4"/>
        <v>183396</v>
      </c>
      <c r="AO11" s="2">
        <f t="shared" si="4"/>
        <v>194184</v>
      </c>
      <c r="AP11" s="2">
        <f t="shared" si="4"/>
        <v>204972</v>
      </c>
      <c r="AQ11" s="2">
        <f t="shared" si="4"/>
        <v>215760</v>
      </c>
    </row>
    <row r="12" spans="2:43" x14ac:dyDescent="0.25">
      <c r="B12" s="11" t="s">
        <v>113</v>
      </c>
      <c r="C12" s="42" t="s">
        <v>215</v>
      </c>
      <c r="D12" s="43"/>
      <c r="E12" s="12" t="s">
        <v>114</v>
      </c>
      <c r="F12" s="42" t="s">
        <v>216</v>
      </c>
      <c r="G12" s="43"/>
      <c r="H12" s="68" t="s">
        <v>172</v>
      </c>
      <c r="I12" s="69"/>
      <c r="R12" s="2" t="s">
        <v>73</v>
      </c>
      <c r="U12" s="2" t="s">
        <v>95</v>
      </c>
      <c r="Y12" s="2" t="s">
        <v>20</v>
      </c>
      <c r="Z12" s="2">
        <f t="shared" ref="Z12:AI12" si="5">Z35</f>
        <v>33561</v>
      </c>
      <c r="AA12" s="2">
        <f t="shared" si="5"/>
        <v>44748</v>
      </c>
      <c r="AB12" s="2">
        <f t="shared" si="5"/>
        <v>55935</v>
      </c>
      <c r="AC12" s="2">
        <f t="shared" si="5"/>
        <v>67122</v>
      </c>
      <c r="AD12" s="2">
        <f t="shared" si="5"/>
        <v>78309</v>
      </c>
      <c r="AE12" s="2">
        <f t="shared" si="5"/>
        <v>89496</v>
      </c>
      <c r="AF12" s="2">
        <f t="shared" si="5"/>
        <v>100683</v>
      </c>
      <c r="AG12" s="2">
        <f t="shared" si="5"/>
        <v>111870</v>
      </c>
      <c r="AH12" s="2">
        <f t="shared" si="5"/>
        <v>123057</v>
      </c>
      <c r="AI12" s="2">
        <f t="shared" si="5"/>
        <v>134244</v>
      </c>
      <c r="AJ12" s="2">
        <f t="shared" ref="AJ12:AL12" si="6">AJ35</f>
        <v>145431</v>
      </c>
      <c r="AK12" s="2">
        <f t="shared" si="6"/>
        <v>156618</v>
      </c>
      <c r="AL12" s="2">
        <f t="shared" si="6"/>
        <v>167805</v>
      </c>
      <c r="AM12" s="2">
        <f t="shared" ref="AM12:AQ12" si="7">AM35</f>
        <v>178992</v>
      </c>
      <c r="AN12" s="2">
        <f t="shared" si="7"/>
        <v>190179</v>
      </c>
      <c r="AO12" s="2">
        <f t="shared" si="7"/>
        <v>201366</v>
      </c>
      <c r="AP12" s="2">
        <f t="shared" si="7"/>
        <v>212553</v>
      </c>
      <c r="AQ12" s="2">
        <f t="shared" si="7"/>
        <v>223740</v>
      </c>
    </row>
    <row r="13" spans="2:43" x14ac:dyDescent="0.25">
      <c r="B13" s="11" t="s">
        <v>115</v>
      </c>
      <c r="C13" s="42" t="s">
        <v>52</v>
      </c>
      <c r="D13" s="43"/>
      <c r="E13" s="12" t="s">
        <v>116</v>
      </c>
      <c r="F13" s="42" t="s">
        <v>217</v>
      </c>
      <c r="G13" s="43"/>
      <c r="H13" s="44"/>
      <c r="I13" s="45"/>
      <c r="Q13" s="2" t="s">
        <v>148</v>
      </c>
      <c r="R13" s="2" t="s">
        <v>74</v>
      </c>
      <c r="U13" s="2" t="s">
        <v>96</v>
      </c>
      <c r="Y13" s="2" t="s">
        <v>22</v>
      </c>
      <c r="Z13" s="2">
        <f t="shared" ref="Z13:AI13" si="8">Z36</f>
        <v>34668</v>
      </c>
      <c r="AA13" s="2">
        <f t="shared" si="8"/>
        <v>46224</v>
      </c>
      <c r="AB13" s="2">
        <f t="shared" si="8"/>
        <v>57780</v>
      </c>
      <c r="AC13" s="2">
        <f t="shared" si="8"/>
        <v>69336</v>
      </c>
      <c r="AD13" s="2">
        <f t="shared" si="8"/>
        <v>80892</v>
      </c>
      <c r="AE13" s="2">
        <f t="shared" si="8"/>
        <v>92448</v>
      </c>
      <c r="AF13" s="2">
        <f t="shared" si="8"/>
        <v>104004</v>
      </c>
      <c r="AG13" s="2">
        <f t="shared" si="8"/>
        <v>115560</v>
      </c>
      <c r="AH13" s="2">
        <f t="shared" si="8"/>
        <v>127116</v>
      </c>
      <c r="AI13" s="2">
        <f t="shared" si="8"/>
        <v>138672</v>
      </c>
      <c r="AJ13" s="2">
        <f t="shared" ref="AJ13:AL13" si="9">AJ36</f>
        <v>150228</v>
      </c>
      <c r="AK13" s="2">
        <f t="shared" si="9"/>
        <v>161784</v>
      </c>
      <c r="AL13" s="2">
        <f t="shared" si="9"/>
        <v>173340</v>
      </c>
      <c r="AM13" s="2">
        <f t="shared" ref="AM13:AQ13" si="10">AM36</f>
        <v>184896</v>
      </c>
      <c r="AN13" s="2">
        <f t="shared" si="10"/>
        <v>196452</v>
      </c>
      <c r="AO13" s="2">
        <f t="shared" si="10"/>
        <v>208008</v>
      </c>
      <c r="AP13" s="2">
        <f t="shared" si="10"/>
        <v>219564</v>
      </c>
      <c r="AQ13" s="2">
        <f t="shared" si="10"/>
        <v>231120</v>
      </c>
    </row>
    <row r="14" spans="2:43" x14ac:dyDescent="0.25">
      <c r="B14" s="11" t="s">
        <v>117</v>
      </c>
      <c r="C14" s="42" t="s">
        <v>54</v>
      </c>
      <c r="D14" s="43"/>
      <c r="E14" s="12" t="s">
        <v>118</v>
      </c>
      <c r="F14" s="42" t="s">
        <v>220</v>
      </c>
      <c r="G14" s="43"/>
      <c r="H14" s="93" t="s">
        <v>119</v>
      </c>
      <c r="I14" s="94"/>
      <c r="Q14" s="2" t="s">
        <v>149</v>
      </c>
      <c r="R14" s="2" t="s">
        <v>75</v>
      </c>
      <c r="U14" s="2" t="s">
        <v>94</v>
      </c>
      <c r="Y14" s="2" t="s">
        <v>24</v>
      </c>
      <c r="Z14" s="2">
        <f t="shared" ref="Z14:AI14" si="11">Z37</f>
        <v>35820</v>
      </c>
      <c r="AA14" s="2">
        <f t="shared" si="11"/>
        <v>47760</v>
      </c>
      <c r="AB14" s="2">
        <f t="shared" si="11"/>
        <v>59700</v>
      </c>
      <c r="AC14" s="2">
        <f t="shared" si="11"/>
        <v>71640</v>
      </c>
      <c r="AD14" s="2">
        <f t="shared" si="11"/>
        <v>83580</v>
      </c>
      <c r="AE14" s="2">
        <f t="shared" si="11"/>
        <v>95520</v>
      </c>
      <c r="AF14" s="2">
        <f t="shared" si="11"/>
        <v>107460</v>
      </c>
      <c r="AG14" s="2">
        <f t="shared" si="11"/>
        <v>119400</v>
      </c>
      <c r="AH14" s="2">
        <f t="shared" si="11"/>
        <v>131340</v>
      </c>
      <c r="AI14" s="2">
        <f t="shared" si="11"/>
        <v>143280</v>
      </c>
      <c r="AJ14" s="2">
        <f t="shared" ref="AJ14:AL14" si="12">AJ37</f>
        <v>155220</v>
      </c>
      <c r="AK14" s="2">
        <f t="shared" si="12"/>
        <v>167160</v>
      </c>
      <c r="AL14" s="2">
        <f t="shared" si="12"/>
        <v>179100</v>
      </c>
      <c r="AM14" s="2">
        <f t="shared" ref="AM14:AQ14" si="13">AM37</f>
        <v>191040</v>
      </c>
      <c r="AN14" s="2">
        <f t="shared" si="13"/>
        <v>202980</v>
      </c>
      <c r="AO14" s="2">
        <f t="shared" si="13"/>
        <v>214920</v>
      </c>
      <c r="AP14" s="2">
        <f t="shared" si="13"/>
        <v>226860</v>
      </c>
      <c r="AQ14" s="2">
        <f t="shared" si="13"/>
        <v>238800</v>
      </c>
    </row>
    <row r="15" spans="2:43" x14ac:dyDescent="0.25">
      <c r="B15" s="11" t="s">
        <v>120</v>
      </c>
      <c r="C15" s="48" t="s">
        <v>219</v>
      </c>
      <c r="D15" s="49"/>
      <c r="E15" s="49"/>
      <c r="F15" s="67"/>
      <c r="G15" s="12" t="s">
        <v>121</v>
      </c>
      <c r="H15" s="42"/>
      <c r="I15" s="47"/>
      <c r="Q15" s="2" t="s">
        <v>150</v>
      </c>
      <c r="R15" s="2" t="s">
        <v>76</v>
      </c>
      <c r="U15" s="2" t="s">
        <v>99</v>
      </c>
      <c r="Y15" s="2" t="s">
        <v>26</v>
      </c>
      <c r="Z15" s="2">
        <f t="shared" ref="Z15:AI15" si="14">Z38</f>
        <v>36990</v>
      </c>
      <c r="AA15" s="2">
        <f t="shared" si="14"/>
        <v>49320</v>
      </c>
      <c r="AB15" s="2">
        <f t="shared" si="14"/>
        <v>61650</v>
      </c>
      <c r="AC15" s="2">
        <f t="shared" si="14"/>
        <v>73980</v>
      </c>
      <c r="AD15" s="2">
        <f t="shared" si="14"/>
        <v>86310</v>
      </c>
      <c r="AE15" s="2">
        <f t="shared" si="14"/>
        <v>98640</v>
      </c>
      <c r="AF15" s="2">
        <f t="shared" si="14"/>
        <v>110970</v>
      </c>
      <c r="AG15" s="2">
        <f t="shared" si="14"/>
        <v>123300</v>
      </c>
      <c r="AH15" s="2">
        <f t="shared" si="14"/>
        <v>135630</v>
      </c>
      <c r="AI15" s="2">
        <f t="shared" si="14"/>
        <v>147960</v>
      </c>
      <c r="AJ15" s="2">
        <f t="shared" ref="AJ15:AL15" si="15">AJ38</f>
        <v>160290</v>
      </c>
      <c r="AK15" s="2">
        <f t="shared" si="15"/>
        <v>172620</v>
      </c>
      <c r="AL15" s="2">
        <f t="shared" si="15"/>
        <v>184950</v>
      </c>
      <c r="AM15" s="2">
        <f t="shared" ref="AM15:AQ15" si="16">AM38</f>
        <v>197280</v>
      </c>
      <c r="AN15" s="2">
        <f t="shared" si="16"/>
        <v>209610</v>
      </c>
      <c r="AO15" s="2">
        <f t="shared" si="16"/>
        <v>221940</v>
      </c>
      <c r="AP15" s="2">
        <f t="shared" si="16"/>
        <v>234270</v>
      </c>
      <c r="AQ15" s="2">
        <f t="shared" si="16"/>
        <v>246600</v>
      </c>
    </row>
    <row r="16" spans="2:43" x14ac:dyDescent="0.25">
      <c r="B16" s="11" t="s">
        <v>122</v>
      </c>
      <c r="C16" s="48" t="s">
        <v>123</v>
      </c>
      <c r="D16" s="49"/>
      <c r="E16" s="49"/>
      <c r="F16" s="67"/>
      <c r="G16" s="12" t="s">
        <v>124</v>
      </c>
      <c r="H16" s="42" t="s">
        <v>123</v>
      </c>
      <c r="I16" s="47"/>
      <c r="Q16" s="2" t="s">
        <v>151</v>
      </c>
      <c r="R16" s="2" t="s">
        <v>77</v>
      </c>
      <c r="U16" s="2" t="s">
        <v>100</v>
      </c>
      <c r="Y16" s="2" t="s">
        <v>30</v>
      </c>
      <c r="Z16" s="2">
        <f t="shared" ref="Z16:AI16" si="17">Z39</f>
        <v>39384</v>
      </c>
      <c r="AA16" s="2">
        <f t="shared" si="17"/>
        <v>52512</v>
      </c>
      <c r="AB16" s="2">
        <f t="shared" si="17"/>
        <v>65640</v>
      </c>
      <c r="AC16" s="2">
        <f t="shared" si="17"/>
        <v>78768</v>
      </c>
      <c r="AD16" s="2">
        <f t="shared" si="17"/>
        <v>91896</v>
      </c>
      <c r="AE16" s="2">
        <f t="shared" si="17"/>
        <v>105024</v>
      </c>
      <c r="AF16" s="2">
        <f t="shared" si="17"/>
        <v>118152</v>
      </c>
      <c r="AG16" s="2">
        <f t="shared" si="17"/>
        <v>131280</v>
      </c>
      <c r="AH16" s="2">
        <f t="shared" si="17"/>
        <v>144408</v>
      </c>
      <c r="AI16" s="2">
        <f t="shared" si="17"/>
        <v>157536</v>
      </c>
      <c r="AJ16" s="2">
        <f t="shared" ref="AJ16:AL16" si="18">AJ39</f>
        <v>170664</v>
      </c>
      <c r="AK16" s="2">
        <f t="shared" si="18"/>
        <v>183792</v>
      </c>
      <c r="AL16" s="2">
        <f t="shared" si="18"/>
        <v>196920</v>
      </c>
      <c r="AM16" s="2">
        <f t="shared" ref="AM16:AQ16" si="19">AM39</f>
        <v>210048</v>
      </c>
      <c r="AN16" s="2">
        <f t="shared" si="19"/>
        <v>223176</v>
      </c>
      <c r="AO16" s="2">
        <f t="shared" si="19"/>
        <v>236304</v>
      </c>
      <c r="AP16" s="2">
        <f t="shared" si="19"/>
        <v>249432</v>
      </c>
      <c r="AQ16" s="2">
        <f t="shared" si="19"/>
        <v>262560</v>
      </c>
    </row>
    <row r="17" spans="1:43" x14ac:dyDescent="0.25">
      <c r="B17" s="11" t="s">
        <v>147</v>
      </c>
      <c r="C17" s="42" t="s">
        <v>220</v>
      </c>
      <c r="D17" s="43"/>
      <c r="E17" s="12" t="s">
        <v>195</v>
      </c>
      <c r="F17" s="38" t="s">
        <v>210</v>
      </c>
      <c r="G17" s="12" t="s">
        <v>125</v>
      </c>
      <c r="H17" s="42" t="s">
        <v>221</v>
      </c>
      <c r="I17" s="47"/>
      <c r="Q17" s="2" t="s">
        <v>152</v>
      </c>
      <c r="R17" s="2" t="s">
        <v>78</v>
      </c>
      <c r="U17" s="2" t="s">
        <v>101</v>
      </c>
    </row>
    <row r="18" spans="1:43" x14ac:dyDescent="0.25">
      <c r="B18" s="13" t="s">
        <v>126</v>
      </c>
      <c r="C18" s="50" t="s">
        <v>93</v>
      </c>
      <c r="D18" s="51"/>
      <c r="E18" s="66"/>
      <c r="F18" s="14" t="s">
        <v>127</v>
      </c>
      <c r="G18" s="41" t="s">
        <v>232</v>
      </c>
      <c r="H18" s="14" t="s">
        <v>128</v>
      </c>
      <c r="I18" s="1" t="s">
        <v>230</v>
      </c>
      <c r="Q18" s="2" t="s">
        <v>153</v>
      </c>
      <c r="R18" s="2" t="s">
        <v>79</v>
      </c>
      <c r="U18" s="2" t="s">
        <v>102</v>
      </c>
    </row>
    <row r="19" spans="1:43" x14ac:dyDescent="0.25">
      <c r="B19" s="11" t="s">
        <v>129</v>
      </c>
      <c r="C19" s="88" t="s">
        <v>228</v>
      </c>
      <c r="D19" s="88"/>
      <c r="E19" s="88"/>
      <c r="F19" s="12" t="s">
        <v>130</v>
      </c>
      <c r="G19" s="39" t="s">
        <v>235</v>
      </c>
      <c r="H19" s="12" t="s">
        <v>131</v>
      </c>
      <c r="I19" s="29" t="s">
        <v>231</v>
      </c>
      <c r="Q19" s="2" t="s">
        <v>154</v>
      </c>
      <c r="R19" s="2" t="s">
        <v>80</v>
      </c>
      <c r="U19" s="2" t="s">
        <v>103</v>
      </c>
    </row>
    <row r="20" spans="1:43" ht="17.25" thickBot="1" x14ac:dyDescent="0.3">
      <c r="B20" s="30" t="s">
        <v>196</v>
      </c>
      <c r="C20" s="72" t="s">
        <v>229</v>
      </c>
      <c r="D20" s="73"/>
      <c r="E20" s="31" t="s">
        <v>197</v>
      </c>
      <c r="F20" s="62"/>
      <c r="G20" s="63"/>
      <c r="H20" s="63"/>
      <c r="I20" s="64"/>
      <c r="Q20" s="2" t="s">
        <v>155</v>
      </c>
      <c r="R20" s="2" t="s">
        <v>81</v>
      </c>
    </row>
    <row r="21" spans="1:43" ht="17.25" thickBot="1" x14ac:dyDescent="0.3">
      <c r="Q21" s="2" t="s">
        <v>156</v>
      </c>
      <c r="R21" s="2" t="s">
        <v>82</v>
      </c>
      <c r="Y21" s="15" t="s">
        <v>2</v>
      </c>
      <c r="Z21" s="15" t="s">
        <v>19</v>
      </c>
      <c r="AA21" s="15" t="s">
        <v>21</v>
      </c>
      <c r="AB21" s="15" t="s">
        <v>23</v>
      </c>
      <c r="AC21" s="15" t="s">
        <v>25</v>
      </c>
      <c r="AD21" s="15" t="s">
        <v>27</v>
      </c>
      <c r="AE21" s="15" t="s">
        <v>30</v>
      </c>
    </row>
    <row r="22" spans="1:43" x14ac:dyDescent="0.25">
      <c r="B22" s="89" t="s">
        <v>132</v>
      </c>
      <c r="C22" s="90"/>
      <c r="D22" s="3" t="s">
        <v>209</v>
      </c>
      <c r="E22" s="91" t="s">
        <v>133</v>
      </c>
      <c r="F22" s="90"/>
      <c r="G22" s="4" t="s">
        <v>209</v>
      </c>
      <c r="H22" s="2" t="s">
        <v>146</v>
      </c>
      <c r="Q22" s="2" t="s">
        <v>157</v>
      </c>
      <c r="R22" s="2" t="s">
        <v>83</v>
      </c>
      <c r="Y22" s="15" t="s">
        <v>28</v>
      </c>
      <c r="Z22" s="15" t="str">
        <f t="shared" ref="Z22:AE22" si="20">C48</f>
        <v>1798</v>
      </c>
      <c r="AA22" s="15" t="str">
        <f t="shared" si="20"/>
        <v>1243</v>
      </c>
      <c r="AB22" s="15" t="str">
        <f t="shared" si="20"/>
        <v>963</v>
      </c>
      <c r="AC22" s="15" t="str">
        <f t="shared" si="20"/>
        <v>796</v>
      </c>
      <c r="AD22" s="15" t="str">
        <f t="shared" si="20"/>
        <v>685</v>
      </c>
      <c r="AE22" s="15" t="str">
        <f t="shared" si="20"/>
        <v>547</v>
      </c>
    </row>
    <row r="23" spans="1:43" x14ac:dyDescent="0.25">
      <c r="B23" s="16" t="s">
        <v>111</v>
      </c>
      <c r="C23" s="42" t="s">
        <v>224</v>
      </c>
      <c r="D23" s="43"/>
      <c r="E23" s="17" t="s">
        <v>111</v>
      </c>
      <c r="F23" s="42" t="s">
        <v>223</v>
      </c>
      <c r="G23" s="47"/>
      <c r="Q23" s="2" t="s">
        <v>158</v>
      </c>
      <c r="R23" s="2" t="s">
        <v>84</v>
      </c>
      <c r="Z23" s="2" t="s">
        <v>6</v>
      </c>
      <c r="AA23" s="2" t="s">
        <v>8</v>
      </c>
      <c r="AB23" s="2" t="s">
        <v>10</v>
      </c>
      <c r="AC23" s="2" t="s">
        <v>11</v>
      </c>
      <c r="AD23" s="2" t="s">
        <v>12</v>
      </c>
      <c r="AE23" s="2" t="s">
        <v>13</v>
      </c>
      <c r="AF23" s="2" t="s">
        <v>14</v>
      </c>
      <c r="AG23" s="2" t="s">
        <v>15</v>
      </c>
      <c r="AH23" s="2" t="s">
        <v>16</v>
      </c>
      <c r="AI23" s="2" t="s">
        <v>17</v>
      </c>
      <c r="AJ23" s="2" t="s">
        <v>95</v>
      </c>
      <c r="AK23" s="2" t="s">
        <v>96</v>
      </c>
      <c r="AL23" s="2" t="s">
        <v>94</v>
      </c>
      <c r="AM23" s="2" t="s">
        <v>99</v>
      </c>
      <c r="AN23" s="2" t="s">
        <v>100</v>
      </c>
      <c r="AO23" s="2" t="s">
        <v>101</v>
      </c>
      <c r="AP23" s="2" t="s">
        <v>102</v>
      </c>
      <c r="AQ23" s="2" t="s">
        <v>103</v>
      </c>
    </row>
    <row r="24" spans="1:43" x14ac:dyDescent="0.25">
      <c r="B24" s="16" t="s">
        <v>134</v>
      </c>
      <c r="C24" s="42" t="s">
        <v>225</v>
      </c>
      <c r="D24" s="43"/>
      <c r="E24" s="17" t="s">
        <v>134</v>
      </c>
      <c r="F24" s="42" t="s">
        <v>227</v>
      </c>
      <c r="G24" s="47"/>
      <c r="Q24" s="2" t="s">
        <v>159</v>
      </c>
      <c r="R24" s="2" t="s">
        <v>85</v>
      </c>
      <c r="Z24" s="2" t="s">
        <v>3</v>
      </c>
      <c r="AA24" s="2" t="s">
        <v>31</v>
      </c>
      <c r="AB24" s="2" t="s">
        <v>32</v>
      </c>
      <c r="AC24" s="2" t="s">
        <v>33</v>
      </c>
      <c r="AD24" s="2" t="s">
        <v>34</v>
      </c>
      <c r="AE24" s="2" t="s">
        <v>35</v>
      </c>
      <c r="AF24" s="2" t="s">
        <v>36</v>
      </c>
      <c r="AG24" s="2" t="s">
        <v>37</v>
      </c>
      <c r="AH24" s="2" t="s">
        <v>38</v>
      </c>
      <c r="AI24" s="2" t="s">
        <v>39</v>
      </c>
      <c r="AJ24" s="2" t="s">
        <v>97</v>
      </c>
      <c r="AK24" s="2" t="s">
        <v>98</v>
      </c>
      <c r="AL24" s="2" t="s">
        <v>43</v>
      </c>
      <c r="AM24" s="2" t="s">
        <v>104</v>
      </c>
      <c r="AN24" s="2" t="s">
        <v>105</v>
      </c>
      <c r="AO24" s="2" t="s">
        <v>106</v>
      </c>
      <c r="AP24" s="2" t="s">
        <v>107</v>
      </c>
      <c r="AQ24" s="2" t="s">
        <v>108</v>
      </c>
    </row>
    <row r="25" spans="1:43" ht="17.25" thickBot="1" x14ac:dyDescent="0.3">
      <c r="B25" s="18" t="s">
        <v>118</v>
      </c>
      <c r="C25" s="72" t="s">
        <v>222</v>
      </c>
      <c r="D25" s="73"/>
      <c r="E25" s="19" t="s">
        <v>118</v>
      </c>
      <c r="F25" s="72" t="s">
        <v>226</v>
      </c>
      <c r="G25" s="92"/>
      <c r="H25" s="2" t="s">
        <v>119</v>
      </c>
      <c r="Q25" s="2" t="s">
        <v>160</v>
      </c>
      <c r="R25" s="2" t="s">
        <v>86</v>
      </c>
      <c r="X25" s="2" t="s">
        <v>18</v>
      </c>
      <c r="Y25" s="15" t="str">
        <f>Z22</f>
        <v>1798</v>
      </c>
      <c r="Z25" s="20">
        <f t="shared" ref="Z25:AQ25" si="21">$Y25*Z24</f>
        <v>5394</v>
      </c>
      <c r="AA25" s="2">
        <f t="shared" si="21"/>
        <v>7192</v>
      </c>
      <c r="AB25" s="2">
        <f t="shared" si="21"/>
        <v>8990</v>
      </c>
      <c r="AC25" s="2">
        <f t="shared" si="21"/>
        <v>10788</v>
      </c>
      <c r="AD25" s="2">
        <f t="shared" si="21"/>
        <v>12586</v>
      </c>
      <c r="AE25" s="2">
        <f t="shared" si="21"/>
        <v>14384</v>
      </c>
      <c r="AF25" s="2">
        <f t="shared" si="21"/>
        <v>16182</v>
      </c>
      <c r="AG25" s="2">
        <f t="shared" si="21"/>
        <v>17980</v>
      </c>
      <c r="AH25" s="2">
        <f t="shared" si="21"/>
        <v>19778</v>
      </c>
      <c r="AI25" s="2">
        <f t="shared" si="21"/>
        <v>21576</v>
      </c>
      <c r="AJ25" s="2">
        <f t="shared" si="21"/>
        <v>23374</v>
      </c>
      <c r="AK25" s="2">
        <f t="shared" si="21"/>
        <v>25172</v>
      </c>
      <c r="AL25" s="2">
        <f t="shared" si="21"/>
        <v>26970</v>
      </c>
      <c r="AM25" s="2">
        <f t="shared" si="21"/>
        <v>28768</v>
      </c>
      <c r="AN25" s="2">
        <f t="shared" si="21"/>
        <v>30566</v>
      </c>
      <c r="AO25" s="2">
        <f t="shared" si="21"/>
        <v>32364</v>
      </c>
      <c r="AP25" s="2">
        <f t="shared" si="21"/>
        <v>34162</v>
      </c>
      <c r="AQ25" s="2">
        <f t="shared" si="21"/>
        <v>35960</v>
      </c>
    </row>
    <row r="26" spans="1:43" ht="17.25" thickBot="1" x14ac:dyDescent="0.3">
      <c r="Q26" s="2" t="s">
        <v>161</v>
      </c>
      <c r="R26" s="2" t="s">
        <v>87</v>
      </c>
      <c r="X26" s="2" t="s">
        <v>20</v>
      </c>
      <c r="Y26" s="15" t="str">
        <f>AA22</f>
        <v>1243</v>
      </c>
      <c r="Z26" s="2">
        <f t="shared" ref="Z26:AO30" si="22">$Y26*Z$24</f>
        <v>3729</v>
      </c>
      <c r="AA26" s="2">
        <f t="shared" si="22"/>
        <v>4972</v>
      </c>
      <c r="AB26" s="2">
        <f t="shared" si="22"/>
        <v>6215</v>
      </c>
      <c r="AC26" s="2">
        <f t="shared" si="22"/>
        <v>7458</v>
      </c>
      <c r="AD26" s="2">
        <f t="shared" si="22"/>
        <v>8701</v>
      </c>
      <c r="AE26" s="2">
        <f t="shared" si="22"/>
        <v>9944</v>
      </c>
      <c r="AF26" s="2">
        <f t="shared" si="22"/>
        <v>11187</v>
      </c>
      <c r="AG26" s="2">
        <f t="shared" si="22"/>
        <v>12430</v>
      </c>
      <c r="AH26" s="2">
        <f t="shared" si="22"/>
        <v>13673</v>
      </c>
      <c r="AI26" s="2">
        <f t="shared" si="22"/>
        <v>14916</v>
      </c>
      <c r="AJ26" s="2">
        <f t="shared" si="22"/>
        <v>16159</v>
      </c>
      <c r="AK26" s="2">
        <f t="shared" si="22"/>
        <v>17402</v>
      </c>
      <c r="AL26" s="2">
        <f t="shared" si="22"/>
        <v>18645</v>
      </c>
      <c r="AM26" s="2">
        <f t="shared" si="22"/>
        <v>19888</v>
      </c>
      <c r="AN26" s="2">
        <f t="shared" si="22"/>
        <v>21131</v>
      </c>
      <c r="AO26" s="2">
        <f t="shared" si="22"/>
        <v>22374</v>
      </c>
      <c r="AP26" s="2">
        <f t="shared" ref="AP26:AQ30" si="23">$Y26*AP$24</f>
        <v>23617</v>
      </c>
      <c r="AQ26" s="2">
        <f t="shared" si="23"/>
        <v>24860</v>
      </c>
    </row>
    <row r="27" spans="1:43" x14ac:dyDescent="0.25">
      <c r="A27" s="46" t="s">
        <v>201</v>
      </c>
      <c r="B27" s="57" t="s">
        <v>200</v>
      </c>
      <c r="C27" s="58"/>
      <c r="D27" s="58"/>
      <c r="E27" s="58"/>
      <c r="F27" s="58"/>
      <c r="G27" s="58"/>
      <c r="H27" s="58"/>
      <c r="I27" s="59"/>
      <c r="Q27" s="2" t="s">
        <v>162</v>
      </c>
      <c r="R27" s="2" t="s">
        <v>88</v>
      </c>
      <c r="X27" s="2" t="s">
        <v>22</v>
      </c>
      <c r="Y27" s="15" t="str">
        <f>AB22</f>
        <v>963</v>
      </c>
      <c r="Z27" s="2">
        <f t="shared" si="22"/>
        <v>2889</v>
      </c>
      <c r="AA27" s="2">
        <f t="shared" si="22"/>
        <v>3852</v>
      </c>
      <c r="AB27" s="2">
        <f t="shared" si="22"/>
        <v>4815</v>
      </c>
      <c r="AC27" s="2">
        <f t="shared" si="22"/>
        <v>5778</v>
      </c>
      <c r="AD27" s="2">
        <f t="shared" si="22"/>
        <v>6741</v>
      </c>
      <c r="AE27" s="2">
        <f t="shared" si="22"/>
        <v>7704</v>
      </c>
      <c r="AF27" s="2">
        <f t="shared" si="22"/>
        <v>8667</v>
      </c>
      <c r="AG27" s="2">
        <f t="shared" si="22"/>
        <v>9630</v>
      </c>
      <c r="AH27" s="2">
        <f t="shared" si="22"/>
        <v>10593</v>
      </c>
      <c r="AI27" s="2">
        <f t="shared" si="22"/>
        <v>11556</v>
      </c>
      <c r="AJ27" s="2">
        <f t="shared" si="22"/>
        <v>12519</v>
      </c>
      <c r="AK27" s="2">
        <f t="shared" si="22"/>
        <v>13482</v>
      </c>
      <c r="AL27" s="2">
        <f t="shared" si="22"/>
        <v>14445</v>
      </c>
      <c r="AM27" s="2">
        <f t="shared" si="22"/>
        <v>15408</v>
      </c>
      <c r="AN27" s="2">
        <f t="shared" si="22"/>
        <v>16371</v>
      </c>
      <c r="AO27" s="2">
        <f t="shared" si="22"/>
        <v>17334</v>
      </c>
      <c r="AP27" s="2">
        <f t="shared" si="23"/>
        <v>18297</v>
      </c>
      <c r="AQ27" s="2">
        <f t="shared" si="23"/>
        <v>19260</v>
      </c>
    </row>
    <row r="28" spans="1:43" x14ac:dyDescent="0.25">
      <c r="A28" s="46"/>
      <c r="B28" s="11" t="s">
        <v>111</v>
      </c>
      <c r="C28" s="42" t="s">
        <v>176</v>
      </c>
      <c r="D28" s="43"/>
      <c r="E28" s="12" t="s">
        <v>112</v>
      </c>
      <c r="F28" s="42" t="s">
        <v>176</v>
      </c>
      <c r="G28" s="43"/>
      <c r="H28" s="44"/>
      <c r="I28" s="45"/>
      <c r="Q28" s="2" t="s">
        <v>163</v>
      </c>
      <c r="R28" s="2" t="s">
        <v>89</v>
      </c>
      <c r="X28" s="2" t="s">
        <v>24</v>
      </c>
      <c r="Y28" s="15" t="str">
        <f>AC22</f>
        <v>796</v>
      </c>
      <c r="Z28" s="2">
        <f t="shared" si="22"/>
        <v>2388</v>
      </c>
      <c r="AA28" s="2">
        <f t="shared" si="22"/>
        <v>3184</v>
      </c>
      <c r="AB28" s="2">
        <f t="shared" si="22"/>
        <v>3980</v>
      </c>
      <c r="AC28" s="2">
        <f t="shared" si="22"/>
        <v>4776</v>
      </c>
      <c r="AD28" s="2">
        <f t="shared" si="22"/>
        <v>5572</v>
      </c>
      <c r="AE28" s="2">
        <f t="shared" si="22"/>
        <v>6368</v>
      </c>
      <c r="AF28" s="2">
        <f t="shared" si="22"/>
        <v>7164</v>
      </c>
      <c r="AG28" s="2">
        <f t="shared" si="22"/>
        <v>7960</v>
      </c>
      <c r="AH28" s="2">
        <f t="shared" si="22"/>
        <v>8756</v>
      </c>
      <c r="AI28" s="2">
        <f t="shared" si="22"/>
        <v>9552</v>
      </c>
      <c r="AJ28" s="2">
        <f t="shared" si="22"/>
        <v>10348</v>
      </c>
      <c r="AK28" s="2">
        <f t="shared" si="22"/>
        <v>11144</v>
      </c>
      <c r="AL28" s="2">
        <f t="shared" si="22"/>
        <v>11940</v>
      </c>
      <c r="AM28" s="2">
        <f t="shared" si="22"/>
        <v>12736</v>
      </c>
      <c r="AN28" s="2">
        <f t="shared" si="22"/>
        <v>13532</v>
      </c>
      <c r="AO28" s="2">
        <f t="shared" si="22"/>
        <v>14328</v>
      </c>
      <c r="AP28" s="2">
        <f t="shared" si="23"/>
        <v>15124</v>
      </c>
      <c r="AQ28" s="2">
        <f t="shared" si="23"/>
        <v>15920</v>
      </c>
    </row>
    <row r="29" spans="1:43" x14ac:dyDescent="0.25">
      <c r="A29" s="46"/>
      <c r="B29" s="11" t="s">
        <v>113</v>
      </c>
      <c r="C29" s="42" t="s">
        <v>176</v>
      </c>
      <c r="D29" s="43"/>
      <c r="E29" s="12" t="s">
        <v>177</v>
      </c>
      <c r="F29" s="42" t="s">
        <v>176</v>
      </c>
      <c r="G29" s="43"/>
      <c r="H29" s="12" t="s">
        <v>178</v>
      </c>
      <c r="I29" s="28"/>
      <c r="Q29" s="2" t="s">
        <v>164</v>
      </c>
      <c r="X29" s="2" t="s">
        <v>26</v>
      </c>
      <c r="Y29" s="15" t="str">
        <f>AD22</f>
        <v>685</v>
      </c>
      <c r="Z29" s="2">
        <f t="shared" si="22"/>
        <v>2055</v>
      </c>
      <c r="AA29" s="2">
        <f t="shared" si="22"/>
        <v>2740</v>
      </c>
      <c r="AB29" s="2">
        <f t="shared" si="22"/>
        <v>3425</v>
      </c>
      <c r="AC29" s="2">
        <f t="shared" si="22"/>
        <v>4110</v>
      </c>
      <c r="AD29" s="2">
        <f t="shared" si="22"/>
        <v>4795</v>
      </c>
      <c r="AE29" s="2">
        <f t="shared" si="22"/>
        <v>5480</v>
      </c>
      <c r="AF29" s="2">
        <f t="shared" si="22"/>
        <v>6165</v>
      </c>
      <c r="AG29" s="2">
        <f t="shared" si="22"/>
        <v>6850</v>
      </c>
      <c r="AH29" s="2">
        <f t="shared" si="22"/>
        <v>7535</v>
      </c>
      <c r="AI29" s="2">
        <f t="shared" si="22"/>
        <v>8220</v>
      </c>
      <c r="AJ29" s="2">
        <f t="shared" si="22"/>
        <v>8905</v>
      </c>
      <c r="AK29" s="2">
        <f t="shared" si="22"/>
        <v>9590</v>
      </c>
      <c r="AL29" s="2">
        <f t="shared" si="22"/>
        <v>10275</v>
      </c>
      <c r="AM29" s="2">
        <f t="shared" si="22"/>
        <v>10960</v>
      </c>
      <c r="AN29" s="2">
        <f t="shared" si="22"/>
        <v>11645</v>
      </c>
      <c r="AO29" s="2">
        <f t="shared" si="22"/>
        <v>12330</v>
      </c>
      <c r="AP29" s="2">
        <f t="shared" si="23"/>
        <v>13015</v>
      </c>
      <c r="AQ29" s="2">
        <f t="shared" si="23"/>
        <v>13700</v>
      </c>
    </row>
    <row r="30" spans="1:43" x14ac:dyDescent="0.25">
      <c r="A30" s="46"/>
      <c r="B30" s="11" t="s">
        <v>179</v>
      </c>
      <c r="C30" s="42"/>
      <c r="D30" s="43"/>
      <c r="E30" s="12" t="s">
        <v>180</v>
      </c>
      <c r="F30" s="42" t="s">
        <v>176</v>
      </c>
      <c r="G30" s="43"/>
      <c r="H30" s="44" t="s">
        <v>181</v>
      </c>
      <c r="I30" s="45"/>
      <c r="Q30" s="2" t="s">
        <v>165</v>
      </c>
      <c r="X30" s="2" t="s">
        <v>29</v>
      </c>
      <c r="Y30" s="15" t="str">
        <f>AE22</f>
        <v>547</v>
      </c>
      <c r="Z30" s="2">
        <f t="shared" si="22"/>
        <v>1641</v>
      </c>
      <c r="AA30" s="2">
        <f t="shared" si="22"/>
        <v>2188</v>
      </c>
      <c r="AB30" s="2">
        <f t="shared" si="22"/>
        <v>2735</v>
      </c>
      <c r="AC30" s="2">
        <f t="shared" si="22"/>
        <v>3282</v>
      </c>
      <c r="AD30" s="2">
        <f t="shared" si="22"/>
        <v>3829</v>
      </c>
      <c r="AE30" s="2">
        <f t="shared" si="22"/>
        <v>4376</v>
      </c>
      <c r="AF30" s="2">
        <f t="shared" si="22"/>
        <v>4923</v>
      </c>
      <c r="AG30" s="2">
        <f t="shared" si="22"/>
        <v>5470</v>
      </c>
      <c r="AH30" s="2">
        <f t="shared" si="22"/>
        <v>6017</v>
      </c>
      <c r="AI30" s="2">
        <f t="shared" si="22"/>
        <v>6564</v>
      </c>
      <c r="AJ30" s="2">
        <f t="shared" si="22"/>
        <v>7111</v>
      </c>
      <c r="AK30" s="2">
        <f t="shared" si="22"/>
        <v>7658</v>
      </c>
      <c r="AL30" s="2">
        <f t="shared" si="22"/>
        <v>8205</v>
      </c>
      <c r="AM30" s="2">
        <f t="shared" si="22"/>
        <v>8752</v>
      </c>
      <c r="AN30" s="2">
        <f t="shared" si="22"/>
        <v>9299</v>
      </c>
      <c r="AO30" s="2">
        <f t="shared" si="22"/>
        <v>9846</v>
      </c>
      <c r="AP30" s="2">
        <f t="shared" si="23"/>
        <v>10393</v>
      </c>
      <c r="AQ30" s="2">
        <f t="shared" si="23"/>
        <v>10940</v>
      </c>
    </row>
    <row r="31" spans="1:43" x14ac:dyDescent="0.25">
      <c r="A31" s="46"/>
      <c r="B31" s="11" t="s">
        <v>182</v>
      </c>
      <c r="C31" s="48" t="s">
        <v>176</v>
      </c>
      <c r="D31" s="49"/>
      <c r="E31" s="49"/>
      <c r="F31" s="49"/>
      <c r="G31" s="12" t="s">
        <v>183</v>
      </c>
      <c r="H31" s="42"/>
      <c r="I31" s="47"/>
      <c r="Q31" s="2" t="s">
        <v>166</v>
      </c>
    </row>
    <row r="32" spans="1:43" x14ac:dyDescent="0.25">
      <c r="A32" s="46"/>
      <c r="B32" s="11" t="s">
        <v>184</v>
      </c>
      <c r="C32" s="48" t="s">
        <v>185</v>
      </c>
      <c r="D32" s="49"/>
      <c r="E32" s="49"/>
      <c r="F32" s="49"/>
      <c r="G32" s="12" t="s">
        <v>186</v>
      </c>
      <c r="H32" s="42" t="s">
        <v>199</v>
      </c>
      <c r="I32" s="47"/>
      <c r="Q32" s="2" t="s">
        <v>167</v>
      </c>
    </row>
    <row r="33" spans="1:43" x14ac:dyDescent="0.25">
      <c r="A33" s="46"/>
      <c r="B33" s="13" t="s">
        <v>187</v>
      </c>
      <c r="C33" s="50" t="s">
        <v>176</v>
      </c>
      <c r="D33" s="51"/>
      <c r="E33" s="14" t="s">
        <v>188</v>
      </c>
      <c r="F33" s="52"/>
      <c r="G33" s="53"/>
      <c r="H33" s="14" t="s">
        <v>189</v>
      </c>
      <c r="I33" s="32"/>
      <c r="Q33" s="2" t="s">
        <v>168</v>
      </c>
      <c r="Z33" s="2" t="s">
        <v>6</v>
      </c>
      <c r="AA33" s="2" t="s">
        <v>8</v>
      </c>
      <c r="AB33" s="2" t="s">
        <v>10</v>
      </c>
      <c r="AC33" s="2" t="s">
        <v>11</v>
      </c>
      <c r="AD33" s="2" t="s">
        <v>12</v>
      </c>
      <c r="AE33" s="2" t="s">
        <v>13</v>
      </c>
      <c r="AF33" s="2" t="s">
        <v>14</v>
      </c>
      <c r="AG33" s="2" t="s">
        <v>15</v>
      </c>
      <c r="AH33" s="2" t="s">
        <v>16</v>
      </c>
      <c r="AI33" s="2" t="s">
        <v>17</v>
      </c>
      <c r="AJ33" s="2" t="s">
        <v>95</v>
      </c>
      <c r="AK33" s="2" t="s">
        <v>96</v>
      </c>
      <c r="AL33" s="2" t="s">
        <v>94</v>
      </c>
      <c r="AM33" s="2" t="s">
        <v>99</v>
      </c>
      <c r="AN33" s="2" t="s">
        <v>100</v>
      </c>
      <c r="AO33" s="2" t="s">
        <v>101</v>
      </c>
      <c r="AP33" s="2" t="s">
        <v>102</v>
      </c>
      <c r="AQ33" s="2" t="s">
        <v>103</v>
      </c>
    </row>
    <row r="34" spans="1:43" ht="17.25" thickBot="1" x14ac:dyDescent="0.3">
      <c r="A34" s="46"/>
      <c r="B34" s="35" t="s">
        <v>190</v>
      </c>
      <c r="C34" s="84"/>
      <c r="D34" s="84"/>
      <c r="E34" s="84"/>
      <c r="F34" s="36" t="s">
        <v>191</v>
      </c>
      <c r="G34" s="33" t="s">
        <v>192</v>
      </c>
      <c r="H34" s="37" t="s">
        <v>193</v>
      </c>
      <c r="I34" s="34" t="s">
        <v>194</v>
      </c>
      <c r="X34" s="2" t="s">
        <v>18</v>
      </c>
      <c r="Y34" s="20" t="s">
        <v>40</v>
      </c>
      <c r="Z34" s="2">
        <f t="shared" ref="Z34:AI34" si="24">Z25*$Y$34</f>
        <v>32364</v>
      </c>
      <c r="AA34" s="2">
        <f t="shared" si="24"/>
        <v>43152</v>
      </c>
      <c r="AB34" s="2">
        <f t="shared" si="24"/>
        <v>53940</v>
      </c>
      <c r="AC34" s="2">
        <f t="shared" si="24"/>
        <v>64728</v>
      </c>
      <c r="AD34" s="2">
        <f t="shared" si="24"/>
        <v>75516</v>
      </c>
      <c r="AE34" s="2">
        <f t="shared" si="24"/>
        <v>86304</v>
      </c>
      <c r="AF34" s="2">
        <f t="shared" si="24"/>
        <v>97092</v>
      </c>
      <c r="AG34" s="2">
        <f t="shared" si="24"/>
        <v>107880</v>
      </c>
      <c r="AH34" s="2">
        <f t="shared" si="24"/>
        <v>118668</v>
      </c>
      <c r="AI34" s="2">
        <f t="shared" si="24"/>
        <v>129456</v>
      </c>
      <c r="AJ34" s="2">
        <f t="shared" ref="AJ34:AQ34" si="25">AJ25*$Y$34</f>
        <v>140244</v>
      </c>
      <c r="AK34" s="2">
        <f t="shared" si="25"/>
        <v>151032</v>
      </c>
      <c r="AL34" s="2">
        <f t="shared" si="25"/>
        <v>161820</v>
      </c>
      <c r="AM34" s="2">
        <f t="shared" si="25"/>
        <v>172608</v>
      </c>
      <c r="AN34" s="2">
        <f t="shared" si="25"/>
        <v>183396</v>
      </c>
      <c r="AO34" s="2">
        <f t="shared" si="25"/>
        <v>194184</v>
      </c>
      <c r="AP34" s="2">
        <f t="shared" si="25"/>
        <v>204972</v>
      </c>
      <c r="AQ34" s="2">
        <f t="shared" si="25"/>
        <v>215760</v>
      </c>
    </row>
    <row r="35" spans="1:43" ht="17.25" thickBot="1" x14ac:dyDescent="0.3">
      <c r="Q35" s="2" t="s">
        <v>144</v>
      </c>
      <c r="X35" s="2" t="s">
        <v>20</v>
      </c>
      <c r="Y35" s="2" t="s">
        <v>41</v>
      </c>
      <c r="Z35" s="2">
        <f t="shared" ref="Z35:AI35" si="26">Z26*$Y$35</f>
        <v>33561</v>
      </c>
      <c r="AA35" s="2">
        <f t="shared" si="26"/>
        <v>44748</v>
      </c>
      <c r="AB35" s="2">
        <f t="shared" si="26"/>
        <v>55935</v>
      </c>
      <c r="AC35" s="2">
        <f t="shared" si="26"/>
        <v>67122</v>
      </c>
      <c r="AD35" s="2">
        <f t="shared" si="26"/>
        <v>78309</v>
      </c>
      <c r="AE35" s="2">
        <f t="shared" si="26"/>
        <v>89496</v>
      </c>
      <c r="AF35" s="2">
        <f t="shared" si="26"/>
        <v>100683</v>
      </c>
      <c r="AG35" s="2">
        <f t="shared" si="26"/>
        <v>111870</v>
      </c>
      <c r="AH35" s="2">
        <f t="shared" si="26"/>
        <v>123057</v>
      </c>
      <c r="AI35" s="2">
        <f t="shared" si="26"/>
        <v>134244</v>
      </c>
      <c r="AJ35" s="2">
        <f t="shared" ref="AJ35:AL35" si="27">AJ26*$Y$35</f>
        <v>145431</v>
      </c>
      <c r="AK35" s="2">
        <f t="shared" si="27"/>
        <v>156618</v>
      </c>
      <c r="AL35" s="2">
        <f t="shared" si="27"/>
        <v>167805</v>
      </c>
      <c r="AM35" s="2">
        <f t="shared" ref="AM35:AQ35" si="28">AM26*$Y$35</f>
        <v>178992</v>
      </c>
      <c r="AN35" s="2">
        <f t="shared" si="28"/>
        <v>190179</v>
      </c>
      <c r="AO35" s="2">
        <f t="shared" si="28"/>
        <v>201366</v>
      </c>
      <c r="AP35" s="2">
        <f t="shared" si="28"/>
        <v>212553</v>
      </c>
      <c r="AQ35" s="2">
        <f t="shared" si="28"/>
        <v>223740</v>
      </c>
    </row>
    <row r="36" spans="1:43" x14ac:dyDescent="0.25">
      <c r="B36" s="74" t="s">
        <v>139</v>
      </c>
      <c r="C36" s="75"/>
      <c r="D36" s="75"/>
      <c r="E36" s="75"/>
      <c r="F36" s="75"/>
      <c r="G36" s="76"/>
      <c r="Q36" s="2" t="s">
        <v>145</v>
      </c>
      <c r="X36" s="2" t="s">
        <v>22</v>
      </c>
      <c r="Y36" s="2" t="s">
        <v>42</v>
      </c>
      <c r="Z36" s="2">
        <f t="shared" ref="Z36:AI36" si="29">Z27*$Y$36</f>
        <v>34668</v>
      </c>
      <c r="AA36" s="2">
        <f t="shared" si="29"/>
        <v>46224</v>
      </c>
      <c r="AB36" s="2">
        <f t="shared" si="29"/>
        <v>57780</v>
      </c>
      <c r="AC36" s="2">
        <f t="shared" si="29"/>
        <v>69336</v>
      </c>
      <c r="AD36" s="2">
        <f t="shared" si="29"/>
        <v>80892</v>
      </c>
      <c r="AE36" s="2">
        <f t="shared" si="29"/>
        <v>92448</v>
      </c>
      <c r="AF36" s="20">
        <f t="shared" si="29"/>
        <v>104004</v>
      </c>
      <c r="AG36" s="2">
        <f t="shared" si="29"/>
        <v>115560</v>
      </c>
      <c r="AH36" s="2">
        <f t="shared" si="29"/>
        <v>127116</v>
      </c>
      <c r="AI36" s="2">
        <f t="shared" si="29"/>
        <v>138672</v>
      </c>
      <c r="AJ36" s="2">
        <f t="shared" ref="AJ36:AL36" si="30">AJ27*$Y$36</f>
        <v>150228</v>
      </c>
      <c r="AK36" s="2">
        <f t="shared" si="30"/>
        <v>161784</v>
      </c>
      <c r="AL36" s="2">
        <f t="shared" si="30"/>
        <v>173340</v>
      </c>
      <c r="AM36" s="2">
        <f t="shared" ref="AM36:AQ36" si="31">AM27*$Y$36</f>
        <v>184896</v>
      </c>
      <c r="AN36" s="2">
        <f t="shared" si="31"/>
        <v>196452</v>
      </c>
      <c r="AO36" s="2">
        <f t="shared" si="31"/>
        <v>208008</v>
      </c>
      <c r="AP36" s="2">
        <f t="shared" si="31"/>
        <v>219564</v>
      </c>
      <c r="AQ36" s="2">
        <f t="shared" si="31"/>
        <v>231120</v>
      </c>
    </row>
    <row r="37" spans="1:43" x14ac:dyDescent="0.25">
      <c r="B37" s="21" t="s">
        <v>169</v>
      </c>
      <c r="C37" s="95" t="s">
        <v>213</v>
      </c>
      <c r="D37" s="96"/>
      <c r="E37" s="96"/>
      <c r="F37" s="96"/>
      <c r="G37" s="97"/>
      <c r="X37" s="2" t="s">
        <v>24</v>
      </c>
      <c r="Y37" s="2" t="s">
        <v>43</v>
      </c>
      <c r="Z37" s="2">
        <f t="shared" ref="Z37:AI37" si="32">Z28*$Y$37</f>
        <v>35820</v>
      </c>
      <c r="AA37" s="2">
        <f t="shared" si="32"/>
        <v>47760</v>
      </c>
      <c r="AB37" s="2">
        <f t="shared" si="32"/>
        <v>59700</v>
      </c>
      <c r="AC37" s="2">
        <f t="shared" si="32"/>
        <v>71640</v>
      </c>
      <c r="AD37" s="2">
        <f t="shared" si="32"/>
        <v>83580</v>
      </c>
      <c r="AE37" s="2">
        <f t="shared" si="32"/>
        <v>95520</v>
      </c>
      <c r="AF37" s="2">
        <f t="shared" si="32"/>
        <v>107460</v>
      </c>
      <c r="AG37" s="2">
        <f t="shared" si="32"/>
        <v>119400</v>
      </c>
      <c r="AH37" s="2">
        <f t="shared" si="32"/>
        <v>131340</v>
      </c>
      <c r="AI37" s="2">
        <f t="shared" si="32"/>
        <v>143280</v>
      </c>
      <c r="AJ37" s="2">
        <f t="shared" ref="AJ37:AL37" si="33">AJ28*$Y$37</f>
        <v>155220</v>
      </c>
      <c r="AK37" s="2">
        <f t="shared" si="33"/>
        <v>167160</v>
      </c>
      <c r="AL37" s="2">
        <f t="shared" si="33"/>
        <v>179100</v>
      </c>
      <c r="AM37" s="2">
        <f t="shared" ref="AM37:AQ37" si="34">AM28*$Y$37</f>
        <v>191040</v>
      </c>
      <c r="AN37" s="2">
        <f t="shared" si="34"/>
        <v>202980</v>
      </c>
      <c r="AO37" s="2">
        <f t="shared" si="34"/>
        <v>214920</v>
      </c>
      <c r="AP37" s="2">
        <f t="shared" si="34"/>
        <v>226860</v>
      </c>
      <c r="AQ37" s="2">
        <f t="shared" si="34"/>
        <v>238800</v>
      </c>
    </row>
    <row r="38" spans="1:43" x14ac:dyDescent="0.25">
      <c r="B38" s="21" t="s">
        <v>140</v>
      </c>
      <c r="C38" s="95" t="s">
        <v>214</v>
      </c>
      <c r="D38" s="96"/>
      <c r="E38" s="96"/>
      <c r="F38" s="96"/>
      <c r="G38" s="97"/>
      <c r="X38" s="2" t="s">
        <v>26</v>
      </c>
      <c r="Y38" s="2" t="s">
        <v>44</v>
      </c>
      <c r="Z38" s="2">
        <f t="shared" ref="Z38:AI38" si="35">Z29*$Y$38</f>
        <v>36990</v>
      </c>
      <c r="AA38" s="2">
        <f t="shared" si="35"/>
        <v>49320</v>
      </c>
      <c r="AB38" s="2">
        <f t="shared" si="35"/>
        <v>61650</v>
      </c>
      <c r="AC38" s="2">
        <f t="shared" si="35"/>
        <v>73980</v>
      </c>
      <c r="AD38" s="2">
        <f t="shared" si="35"/>
        <v>86310</v>
      </c>
      <c r="AE38" s="2">
        <f t="shared" si="35"/>
        <v>98640</v>
      </c>
      <c r="AF38" s="2">
        <f t="shared" si="35"/>
        <v>110970</v>
      </c>
      <c r="AG38" s="2">
        <f t="shared" si="35"/>
        <v>123300</v>
      </c>
      <c r="AH38" s="2">
        <f t="shared" si="35"/>
        <v>135630</v>
      </c>
      <c r="AI38" s="2">
        <f t="shared" si="35"/>
        <v>147960</v>
      </c>
      <c r="AJ38" s="2">
        <f t="shared" ref="AJ38:AL38" si="36">AJ29*$Y$38</f>
        <v>160290</v>
      </c>
      <c r="AK38" s="2">
        <f t="shared" si="36"/>
        <v>172620</v>
      </c>
      <c r="AL38" s="2">
        <f t="shared" si="36"/>
        <v>184950</v>
      </c>
      <c r="AM38" s="2">
        <f t="shared" ref="AM38:AQ38" si="37">AM29*$Y$38</f>
        <v>197280</v>
      </c>
      <c r="AN38" s="2">
        <f t="shared" si="37"/>
        <v>209610</v>
      </c>
      <c r="AO38" s="2">
        <f t="shared" si="37"/>
        <v>221940</v>
      </c>
      <c r="AP38" s="2">
        <f t="shared" si="37"/>
        <v>234270</v>
      </c>
      <c r="AQ38" s="2">
        <f t="shared" si="37"/>
        <v>246600</v>
      </c>
    </row>
    <row r="39" spans="1:43" ht="17.25" thickBot="1" x14ac:dyDescent="0.3">
      <c r="B39" s="22" t="s">
        <v>141</v>
      </c>
      <c r="C39" s="98" t="str">
        <f>C11</f>
        <v>詹馥慈</v>
      </c>
      <c r="D39" s="99"/>
      <c r="E39" s="99"/>
      <c r="F39" s="99"/>
      <c r="G39" s="100"/>
      <c r="Q39" s="2" t="s">
        <v>173</v>
      </c>
      <c r="X39" s="2" t="s">
        <v>29</v>
      </c>
      <c r="Y39" s="2" t="s">
        <v>45</v>
      </c>
      <c r="Z39" s="2">
        <f t="shared" ref="Z39:AI39" si="38">Z30*$Y$39</f>
        <v>39384</v>
      </c>
      <c r="AA39" s="2">
        <f t="shared" si="38"/>
        <v>52512</v>
      </c>
      <c r="AB39" s="2">
        <f t="shared" si="38"/>
        <v>65640</v>
      </c>
      <c r="AC39" s="2">
        <f t="shared" si="38"/>
        <v>78768</v>
      </c>
      <c r="AD39" s="2">
        <f t="shared" si="38"/>
        <v>91896</v>
      </c>
      <c r="AE39" s="2">
        <f t="shared" si="38"/>
        <v>105024</v>
      </c>
      <c r="AF39" s="2">
        <f t="shared" si="38"/>
        <v>118152</v>
      </c>
      <c r="AG39" s="2">
        <f t="shared" si="38"/>
        <v>131280</v>
      </c>
      <c r="AH39" s="2">
        <f t="shared" si="38"/>
        <v>144408</v>
      </c>
      <c r="AI39" s="2">
        <f t="shared" si="38"/>
        <v>157536</v>
      </c>
      <c r="AJ39" s="2">
        <f t="shared" ref="AJ39:AL39" si="39">AJ30*$Y$39</f>
        <v>170664</v>
      </c>
      <c r="AK39" s="2">
        <f t="shared" si="39"/>
        <v>183792</v>
      </c>
      <c r="AL39" s="2">
        <f t="shared" si="39"/>
        <v>196920</v>
      </c>
      <c r="AM39" s="2">
        <f t="shared" ref="AM39:AQ39" si="40">AM30*$Y$39</f>
        <v>210048</v>
      </c>
      <c r="AN39" s="2">
        <f t="shared" si="40"/>
        <v>223176</v>
      </c>
      <c r="AO39" s="2">
        <f t="shared" si="40"/>
        <v>236304</v>
      </c>
      <c r="AP39" s="2">
        <f t="shared" si="40"/>
        <v>249432</v>
      </c>
      <c r="AQ39" s="2">
        <f t="shared" si="40"/>
        <v>262560</v>
      </c>
    </row>
    <row r="40" spans="1:43" ht="17.25" thickBot="1" x14ac:dyDescent="0.3">
      <c r="C40" s="71"/>
      <c r="D40" s="71"/>
      <c r="E40" s="71"/>
      <c r="F40" s="71"/>
      <c r="G40" s="71"/>
      <c r="Q40" s="2" t="s">
        <v>174</v>
      </c>
    </row>
    <row r="41" spans="1:43" x14ac:dyDescent="0.25">
      <c r="B41" s="85" t="s">
        <v>135</v>
      </c>
      <c r="C41" s="86"/>
      <c r="D41" s="86"/>
      <c r="E41" s="86"/>
      <c r="F41" s="86"/>
      <c r="G41" s="87"/>
    </row>
    <row r="42" spans="1:43" x14ac:dyDescent="0.25">
      <c r="B42" s="23" t="s">
        <v>136</v>
      </c>
      <c r="C42" s="70" t="s">
        <v>234</v>
      </c>
      <c r="D42" s="70"/>
      <c r="E42" s="24" t="s">
        <v>170</v>
      </c>
      <c r="F42" s="70" t="s">
        <v>233</v>
      </c>
      <c r="G42" s="83"/>
    </row>
    <row r="43" spans="1:43" x14ac:dyDescent="0.25">
      <c r="B43" s="23" t="s">
        <v>137</v>
      </c>
      <c r="C43" s="70" t="s">
        <v>17</v>
      </c>
      <c r="D43" s="70"/>
      <c r="E43" s="24" t="s">
        <v>138</v>
      </c>
      <c r="F43" s="70" t="s">
        <v>30</v>
      </c>
      <c r="G43" s="83"/>
    </row>
    <row r="44" spans="1:43" ht="17.25" thickBot="1" x14ac:dyDescent="0.3">
      <c r="B44" s="25" t="s">
        <v>0</v>
      </c>
      <c r="C44" s="78">
        <f xml:space="preserve"> VLOOKUP(F43,$Y$1:$AL$7,MATCH(C43,$Y$1:$AL$1,0),FALSE)</f>
        <v>6564</v>
      </c>
      <c r="D44" s="78"/>
      <c r="E44" s="26" t="s">
        <v>1</v>
      </c>
      <c r="F44" s="79">
        <f xml:space="preserve"> VLOOKUP(F43,$Y$10:$AL$16,MATCH(C43,$Y$10:$AL$10,0),FALSE)</f>
        <v>157536</v>
      </c>
      <c r="G44" s="80"/>
    </row>
    <row r="45" spans="1:43" ht="17.25" thickBot="1" x14ac:dyDescent="0.3">
      <c r="B45" s="27" t="s">
        <v>4</v>
      </c>
      <c r="C45" s="77">
        <f>F44</f>
        <v>157536</v>
      </c>
      <c r="D45" s="77"/>
      <c r="E45" s="81"/>
      <c r="F45" s="56"/>
      <c r="G45" s="82"/>
    </row>
    <row r="47" spans="1:43" x14ac:dyDescent="0.25">
      <c r="B47" s="5" t="s">
        <v>2</v>
      </c>
      <c r="C47" s="5" t="s">
        <v>18</v>
      </c>
      <c r="D47" s="5" t="s">
        <v>20</v>
      </c>
      <c r="E47" s="5" t="s">
        <v>22</v>
      </c>
      <c r="F47" s="5" t="s">
        <v>24</v>
      </c>
      <c r="G47" s="5" t="s">
        <v>26</v>
      </c>
      <c r="H47" s="5" t="s">
        <v>29</v>
      </c>
    </row>
    <row r="48" spans="1:43" x14ac:dyDescent="0.25">
      <c r="B48" s="5" t="s">
        <v>28</v>
      </c>
      <c r="C48" s="5" t="s">
        <v>142</v>
      </c>
      <c r="D48" s="5" t="s">
        <v>143</v>
      </c>
      <c r="E48" s="5" t="s">
        <v>202</v>
      </c>
      <c r="F48" s="5" t="s">
        <v>203</v>
      </c>
      <c r="G48" s="5" t="s">
        <v>204</v>
      </c>
      <c r="H48" s="5" t="s">
        <v>205</v>
      </c>
    </row>
    <row r="52" spans="2:8" x14ac:dyDescent="0.25">
      <c r="B52" s="10"/>
      <c r="C52" s="10"/>
      <c r="D52" s="10"/>
      <c r="E52" s="10"/>
      <c r="F52" s="10"/>
      <c r="G52" s="10"/>
      <c r="H52" s="10"/>
    </row>
  </sheetData>
  <sheetProtection algorithmName="SHA-512" hashValue="z5QZqdGG19CI85gzb3YHj2+vVl4dWO/9L6Nh1clSYZeaRPt6GIUp547mUfphdfhIiKCo7gueR4ipCcsVudIjsQ==" saltValue="ANJ12Z4WoisMKg6+D2V2Ng==" spinCount="100000" sheet="1" objects="1" scenarios="1" selectLockedCells="1"/>
  <mergeCells count="66">
    <mergeCell ref="B41:G41"/>
    <mergeCell ref="B10:I10"/>
    <mergeCell ref="C19:E19"/>
    <mergeCell ref="B22:C22"/>
    <mergeCell ref="E22:F22"/>
    <mergeCell ref="C23:D23"/>
    <mergeCell ref="C24:D24"/>
    <mergeCell ref="C25:D25"/>
    <mergeCell ref="F23:G23"/>
    <mergeCell ref="F24:G24"/>
    <mergeCell ref="F25:G25"/>
    <mergeCell ref="H17:I17"/>
    <mergeCell ref="H14:I14"/>
    <mergeCell ref="C37:G37"/>
    <mergeCell ref="C38:G38"/>
    <mergeCell ref="C39:G39"/>
    <mergeCell ref="C40:G40"/>
    <mergeCell ref="C20:D20"/>
    <mergeCell ref="B36:G36"/>
    <mergeCell ref="C45:D45"/>
    <mergeCell ref="C44:D44"/>
    <mergeCell ref="F44:G44"/>
    <mergeCell ref="E45:G45"/>
    <mergeCell ref="F42:G42"/>
    <mergeCell ref="C42:D42"/>
    <mergeCell ref="C43:D43"/>
    <mergeCell ref="F43:G43"/>
    <mergeCell ref="C34:E34"/>
    <mergeCell ref="C31:F31"/>
    <mergeCell ref="C29:D29"/>
    <mergeCell ref="F29:G29"/>
    <mergeCell ref="C30:D30"/>
    <mergeCell ref="B7:I7"/>
    <mergeCell ref="C8:D8"/>
    <mergeCell ref="C17:D17"/>
    <mergeCell ref="C18:E18"/>
    <mergeCell ref="C14:D14"/>
    <mergeCell ref="F14:G14"/>
    <mergeCell ref="C15:F15"/>
    <mergeCell ref="C16:F16"/>
    <mergeCell ref="C12:D12"/>
    <mergeCell ref="F12:G12"/>
    <mergeCell ref="F13:G13"/>
    <mergeCell ref="H12:I12"/>
    <mergeCell ref="C13:D13"/>
    <mergeCell ref="H13:I13"/>
    <mergeCell ref="C11:D11"/>
    <mergeCell ref="F11:G11"/>
    <mergeCell ref="F8:G8"/>
    <mergeCell ref="H9:I9"/>
    <mergeCell ref="B27:I27"/>
    <mergeCell ref="C28:D28"/>
    <mergeCell ref="F28:G28"/>
    <mergeCell ref="H28:I28"/>
    <mergeCell ref="H15:I15"/>
    <mergeCell ref="H16:I16"/>
    <mergeCell ref="H11:I11"/>
    <mergeCell ref="F20:I20"/>
    <mergeCell ref="F30:G30"/>
    <mergeCell ref="H30:I30"/>
    <mergeCell ref="A27:A34"/>
    <mergeCell ref="H31:I31"/>
    <mergeCell ref="C32:F32"/>
    <mergeCell ref="H32:I32"/>
    <mergeCell ref="C33:D33"/>
    <mergeCell ref="F33:G33"/>
  </mergeCells>
  <phoneticPr fontId="1" type="noConversion"/>
  <dataValidations count="10">
    <dataValidation type="list" allowBlank="1" showInputMessage="1" showErrorMessage="1" sqref="C20:D20" xr:uid="{00000000-0002-0000-0000-000000000000}">
      <formula1>手機電信公司</formula1>
    </dataValidation>
    <dataValidation type="list" allowBlank="1" showInputMessage="1" showErrorMessage="1" sqref="F43:G43" xr:uid="{00000000-0002-0000-0000-000001000000}">
      <formula1>申貸期數</formula1>
    </dataValidation>
    <dataValidation type="list" allowBlank="1" showInputMessage="1" showErrorMessage="1" sqref="C43:D43" xr:uid="{00000000-0002-0000-0000-000002000000}">
      <formula1>申貸金額</formula1>
    </dataValidation>
    <dataValidation allowBlank="1" showInputMessage="1" sqref="C17:D17 F20 F30:G30 C30:C31 D30" xr:uid="{00000000-0002-0000-0000-000003000000}"/>
    <dataValidation type="list" allowBlank="1" showInputMessage="1" showErrorMessage="1" sqref="C14:D14" xr:uid="{00000000-0002-0000-0000-000004000000}">
      <formula1>最高學歷</formula1>
    </dataValidation>
    <dataValidation type="list" allowBlank="1" showInputMessage="1" showErrorMessage="1" sqref="F13:G13" xr:uid="{00000000-0002-0000-0000-000005000000}">
      <formula1>身份證發證地</formula1>
    </dataValidation>
    <dataValidation type="list" allowBlank="1" showInputMessage="1" showErrorMessage="1" sqref="C13:D13" xr:uid="{00000000-0002-0000-0000-000006000000}">
      <formula1>婚姻狀態</formula1>
    </dataValidation>
    <dataValidation type="list" allowBlank="1" showInputMessage="1" showErrorMessage="1" sqref="G19" xr:uid="{00000000-0002-0000-0000-000007000000}">
      <formula1>$Q$13:$Q$33</formula1>
    </dataValidation>
    <dataValidation type="list" allowBlank="1" showInputMessage="1" showErrorMessage="1" sqref="D22 G22" xr:uid="{00000000-0002-0000-0000-000008000000}">
      <formula1>$Q$35:$Q$36</formula1>
    </dataValidation>
    <dataValidation type="list" allowBlank="1" showInputMessage="1" showErrorMessage="1" sqref="F8:G8" xr:uid="{00000000-0002-0000-0000-000009000000}">
      <formula1>分期項目</formula1>
    </dataValidation>
  </dataValidations>
  <pageMargins left="0.7" right="0.7" top="0.75" bottom="0.75" header="0.3" footer="0.3"/>
  <pageSetup paperSize="9" orientation="portrait" r:id="rId1"/>
  <ignoredErrors>
    <ignoredError sqref="C48 D48 E48:H48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10</vt:i4>
      </vt:variant>
    </vt:vector>
  </HeadingPairs>
  <TitlesOfParts>
    <vt:vector size="11" baseType="lpstr">
      <vt:lpstr>和裕維力貸</vt:lpstr>
      <vt:lpstr>分期項目</vt:lpstr>
      <vt:lpstr>手機電信公司</vt:lpstr>
      <vt:lpstr>申貸金額</vt:lpstr>
      <vt:lpstr>申貸期數</vt:lpstr>
      <vt:lpstr>身份證發證地</vt:lpstr>
      <vt:lpstr>婚姻狀態</vt:lpstr>
      <vt:lpstr>現居狀況</vt:lpstr>
      <vt:lpstr>最高學歷</vt:lpstr>
      <vt:lpstr>維力商品貸</vt:lpstr>
      <vt:lpstr>維力機車貸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X3005</dc:creator>
  <cp:lastModifiedBy>郁晴 邱</cp:lastModifiedBy>
  <cp:lastPrinted>2025-08-08T06:29:56Z</cp:lastPrinted>
  <dcterms:created xsi:type="dcterms:W3CDTF">2024-03-26T08:45:25Z</dcterms:created>
  <dcterms:modified xsi:type="dcterms:W3CDTF">2026-04-06T19:18:52Z</dcterms:modified>
</cp:coreProperties>
</file>