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f32e69ea87f61e/Desktop/claude/申請書/"/>
    </mc:Choice>
  </mc:AlternateContent>
  <xr:revisionPtr revIDLastSave="628" documentId="8_{8657E013-8DDC-4972-BDBF-6C2620C0497F}" xr6:coauthVersionLast="47" xr6:coauthVersionMax="47" xr10:uidLastSave="{B1C6AD8E-4B43-43C2-AC48-B1514BFF4D6A}"/>
  <workbookProtection workbookAlgorithmName="SHA-512" workbookHashValue="BwhljbYaKav+E17RuyDNCkx7FNkCIijIIhGeSyh/zEvLWC29IGnQmrBFwgnc+icxQOJkDEe40IlAn/u+KarW+w==" workbookSaltValue="AzwUdSEg380nYmyDCj3oGQ==" workbookSpinCount="100000" lockStructure="1"/>
  <bookViews>
    <workbookView xWindow="12960" yWindow="2805" windowWidth="23595" windowHeight="13485" xr2:uid="{1319B317-115B-4189-827F-8B258237D3A2}"/>
  </bookViews>
  <sheets>
    <sheet name="申請書" sheetId="1" r:id="rId1"/>
    <sheet name="代碼表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" i="1" l="1"/>
  <c r="AB7" i="1" s="1"/>
  <c r="AC7" i="1" s="1"/>
  <c r="AA6" i="1"/>
  <c r="AB6" i="1" s="1"/>
  <c r="AC6" i="1" s="1"/>
  <c r="AE7" i="1"/>
  <c r="AE5" i="1"/>
  <c r="AE6" i="1" s="1"/>
  <c r="AE8" i="1" l="1"/>
  <c r="B14" i="1" s="1"/>
  <c r="G14" i="1" s="1"/>
</calcChain>
</file>

<file path=xl/sharedStrings.xml><?xml version="1.0" encoding="utf-8"?>
<sst xmlns="http://schemas.openxmlformats.org/spreadsheetml/2006/main" count="140" uniqueCount="129">
  <si>
    <t>基本資料</t>
    <phoneticPr fontId="1" type="noConversion"/>
  </si>
  <si>
    <t>職業資料</t>
    <phoneticPr fontId="1" type="noConversion"/>
  </si>
  <si>
    <t>聯絡人資料</t>
    <phoneticPr fontId="1" type="noConversion"/>
  </si>
  <si>
    <t>關係</t>
  </si>
  <si>
    <t>申辦內容</t>
    <phoneticPr fontId="1" type="noConversion"/>
  </si>
  <si>
    <t>貸款金額</t>
    <phoneticPr fontId="1" type="noConversion"/>
  </si>
  <si>
    <t>期付金</t>
    <phoneticPr fontId="1" type="noConversion"/>
  </si>
  <si>
    <t>年</t>
    <phoneticPr fontId="1" type="noConversion"/>
  </si>
  <si>
    <t>換證地點</t>
  </si>
  <si>
    <t>身分證
字號</t>
    <phoneticPr fontId="1" type="noConversion"/>
  </si>
  <si>
    <t>第一國際資融(股)公司</t>
    <phoneticPr fontId="1" type="noConversion"/>
  </si>
  <si>
    <t>中 文
姓 名</t>
    <phoneticPr fontId="1" type="noConversion"/>
  </si>
  <si>
    <t>發 證
日 期</t>
    <phoneticPr fontId="1" type="noConversion"/>
  </si>
  <si>
    <t>出 生
日 期</t>
    <phoneticPr fontId="1" type="noConversion"/>
  </si>
  <si>
    <t>戶 籍
電 話</t>
    <phoneticPr fontId="1" type="noConversion"/>
  </si>
  <si>
    <t>戶 籍
地 址</t>
    <phoneticPr fontId="1" type="noConversion"/>
  </si>
  <si>
    <t>現 居
地 址</t>
    <phoneticPr fontId="1" type="noConversion"/>
  </si>
  <si>
    <t>換 證
地 點</t>
    <phoneticPr fontId="1" type="noConversion"/>
  </si>
  <si>
    <t>行 動
電 話</t>
    <phoneticPr fontId="1" type="noConversion"/>
  </si>
  <si>
    <t>現 居
電 話</t>
    <phoneticPr fontId="1" type="noConversion"/>
  </si>
  <si>
    <t>公 司
名 稱</t>
    <phoneticPr fontId="1" type="noConversion"/>
  </si>
  <si>
    <t>公 司
統 編</t>
    <phoneticPr fontId="1" type="noConversion"/>
  </si>
  <si>
    <t>公 司
電 話</t>
    <phoneticPr fontId="1" type="noConversion"/>
  </si>
  <si>
    <t>公 司
地 址</t>
    <phoneticPr fontId="1" type="noConversion"/>
  </si>
  <si>
    <t>年 資</t>
    <phoneticPr fontId="1" type="noConversion"/>
  </si>
  <si>
    <t>月 薪</t>
    <phoneticPr fontId="1" type="noConversion"/>
  </si>
  <si>
    <t>貸 款
金 額</t>
    <phoneticPr fontId="1" type="noConversion"/>
  </si>
  <si>
    <t>分 期
期 數</t>
    <phoneticPr fontId="1" type="noConversion"/>
  </si>
  <si>
    <t>分 期
總 價</t>
    <phoneticPr fontId="1" type="noConversion"/>
  </si>
  <si>
    <t>父母</t>
    <phoneticPr fontId="1" type="noConversion"/>
  </si>
  <si>
    <t>夫妻</t>
    <phoneticPr fontId="1" type="noConversion"/>
  </si>
  <si>
    <t>兄弟姐妹</t>
    <phoneticPr fontId="1" type="noConversion"/>
  </si>
  <si>
    <t>子女</t>
    <phoneticPr fontId="1" type="noConversion"/>
  </si>
  <si>
    <t>朋友</t>
    <phoneticPr fontId="1" type="noConversion"/>
  </si>
  <si>
    <t>同事</t>
    <phoneticPr fontId="1" type="noConversion"/>
  </si>
  <si>
    <t>祖父母</t>
    <phoneticPr fontId="1" type="noConversion"/>
  </si>
  <si>
    <t>外祖父母</t>
    <phoneticPr fontId="1" type="noConversion"/>
  </si>
  <si>
    <t>孫子女</t>
    <phoneticPr fontId="1" type="noConversion"/>
  </si>
  <si>
    <t>姪子女</t>
    <phoneticPr fontId="1" type="noConversion"/>
  </si>
  <si>
    <t>岳父母</t>
    <phoneticPr fontId="1" type="noConversion"/>
  </si>
  <si>
    <t>女婿</t>
    <phoneticPr fontId="1" type="noConversion"/>
  </si>
  <si>
    <t>堂兄弟姊</t>
    <phoneticPr fontId="1" type="noConversion"/>
  </si>
  <si>
    <t>表兄弟姊</t>
    <phoneticPr fontId="1" type="noConversion"/>
  </si>
  <si>
    <t>伯父母</t>
    <phoneticPr fontId="1" type="noConversion"/>
  </si>
  <si>
    <t>叔/嬸</t>
    <phoneticPr fontId="1" type="noConversion"/>
  </si>
  <si>
    <t>舅/舅媽</t>
    <phoneticPr fontId="1" type="noConversion"/>
  </si>
  <si>
    <t>姨/姨丈</t>
    <phoneticPr fontId="1" type="noConversion"/>
  </si>
  <si>
    <t>姑/姑丈</t>
    <phoneticPr fontId="1" type="noConversion"/>
  </si>
  <si>
    <t>公婆媳</t>
    <phoneticPr fontId="1" type="noConversion"/>
  </si>
  <si>
    <t>大伯小叔</t>
    <phoneticPr fontId="1" type="noConversion"/>
  </si>
  <si>
    <t>姑嫂</t>
    <phoneticPr fontId="1" type="noConversion"/>
  </si>
  <si>
    <t>妯娌</t>
    <phoneticPr fontId="1" type="noConversion"/>
  </si>
  <si>
    <t>姐夫</t>
    <phoneticPr fontId="1" type="noConversion"/>
  </si>
  <si>
    <t>妹婿</t>
    <phoneticPr fontId="1" type="noConversion"/>
  </si>
  <si>
    <t>弟媳</t>
    <phoneticPr fontId="1" type="noConversion"/>
  </si>
  <si>
    <t>親戚</t>
    <phoneticPr fontId="1" type="noConversion"/>
  </si>
  <si>
    <t>雇主</t>
    <phoneticPr fontId="1" type="noConversion"/>
  </si>
  <si>
    <t>員工</t>
    <phoneticPr fontId="1" type="noConversion"/>
  </si>
  <si>
    <t>負責人</t>
    <phoneticPr fontId="1" type="noConversion"/>
  </si>
  <si>
    <t>繼父母</t>
    <phoneticPr fontId="1" type="noConversion"/>
  </si>
  <si>
    <t>甥子女</t>
    <phoneticPr fontId="1" type="noConversion"/>
  </si>
  <si>
    <t>計算中繼參數</t>
    <phoneticPr fontId="1" type="noConversion"/>
  </si>
  <si>
    <t>調整期付款</t>
    <phoneticPr fontId="1" type="noConversion"/>
  </si>
  <si>
    <t>每萬元期付</t>
    <phoneticPr fontId="1" type="noConversion"/>
  </si>
  <si>
    <t>期付款</t>
  </si>
  <si>
    <t>本案期付款</t>
    <phoneticPr fontId="1" type="noConversion"/>
  </si>
  <si>
    <t>利率</t>
    <phoneticPr fontId="1" type="noConversion"/>
  </si>
  <si>
    <t>分期付款買賣應收帳款受讓申請書</t>
    <phoneticPr fontId="1" type="noConversion"/>
  </si>
  <si>
    <t>北市</t>
  </si>
  <si>
    <t>新北市</t>
  </si>
  <si>
    <t>北縣</t>
  </si>
  <si>
    <t>基市</t>
  </si>
  <si>
    <t>宜縣</t>
  </si>
  <si>
    <t>桃市</t>
  </si>
  <si>
    <t>桃縣</t>
  </si>
  <si>
    <t>竹市</t>
  </si>
  <si>
    <t>竹縣</t>
  </si>
  <si>
    <t>苗縣</t>
  </si>
  <si>
    <t>中市</t>
  </si>
  <si>
    <t>中縣</t>
  </si>
  <si>
    <t>嘉市</t>
  </si>
  <si>
    <t>彰縣</t>
  </si>
  <si>
    <t>投縣</t>
  </si>
  <si>
    <t>雲縣</t>
  </si>
  <si>
    <t>嘉縣</t>
  </si>
  <si>
    <t>南市</t>
  </si>
  <si>
    <t>南縣</t>
  </si>
  <si>
    <t>高市</t>
  </si>
  <si>
    <t>高縣</t>
  </si>
  <si>
    <t>屏縣</t>
  </si>
  <si>
    <t>東縣</t>
  </si>
  <si>
    <t>花縣</t>
  </si>
  <si>
    <t>澎縣</t>
  </si>
  <si>
    <t>連江</t>
  </si>
  <si>
    <t>金門</t>
  </si>
  <si>
    <t>保
密</t>
    <phoneticPr fontId="1" type="noConversion"/>
  </si>
  <si>
    <t>關
係</t>
    <phoneticPr fontId="1" type="noConversion"/>
  </si>
  <si>
    <t>電
話</t>
    <phoneticPr fontId="1" type="noConversion"/>
  </si>
  <si>
    <t>月</t>
  </si>
  <si>
    <t>換發
類型</t>
    <phoneticPr fontId="1" type="noConversion"/>
  </si>
  <si>
    <t>收 入
來 源</t>
    <phoneticPr fontId="1" type="noConversion"/>
  </si>
  <si>
    <t>收入來源</t>
    <phoneticPr fontId="1" type="noConversion"/>
  </si>
  <si>
    <t>工作/打工收入</t>
  </si>
  <si>
    <t>配偶/家人提供生活費</t>
  </si>
  <si>
    <t>經營事業所得</t>
  </si>
  <si>
    <t>投資理財收益</t>
  </si>
  <si>
    <t>退休金或年金</t>
  </si>
  <si>
    <t>社會福利補助</t>
  </si>
  <si>
    <t>注意：
1.紅字標題欄位必填
2.聯絡人須填1位二等親及1位朋友；若皆為朋友則需提供3位，且其中1位須知情。</t>
    <phoneticPr fontId="1" type="noConversion"/>
  </si>
  <si>
    <t>v1.1</t>
    <phoneticPr fontId="1" type="noConversion"/>
  </si>
  <si>
    <t>同上</t>
    <phoneticPr fontId="1" type="noConversion"/>
  </si>
  <si>
    <t>兄弟姐妹</t>
  </si>
  <si>
    <t>陳彥銘</t>
    <phoneticPr fontId="1" type="noConversion"/>
  </si>
  <si>
    <t>A124944377</t>
    <phoneticPr fontId="1" type="noConversion"/>
  </si>
  <si>
    <t>1141126</t>
    <phoneticPr fontId="1" type="noConversion"/>
  </si>
  <si>
    <t>0660602</t>
    <phoneticPr fontId="1" type="noConversion"/>
  </si>
  <si>
    <t>換發</t>
  </si>
  <si>
    <t>0937082800</t>
    <phoneticPr fontId="1" type="noConversion"/>
  </si>
  <si>
    <t>台北市松山區八德路四段106巷2弄6號</t>
    <phoneticPr fontId="1" type="noConversion"/>
  </si>
  <si>
    <t>台灣立訊精密公司</t>
    <phoneticPr fontId="1" type="noConversion"/>
  </si>
  <si>
    <t>0223570707#722865</t>
    <phoneticPr fontId="1" type="noConversion"/>
  </si>
  <si>
    <t>台北市內湖區民權東路6段15巷12號</t>
    <phoneticPr fontId="1" type="noConversion"/>
  </si>
  <si>
    <t>陳欣儀</t>
    <phoneticPr fontId="1" type="noConversion"/>
  </si>
  <si>
    <t>陳宣臻</t>
    <phoneticPr fontId="1" type="noConversion"/>
  </si>
  <si>
    <t>夫妻</t>
  </si>
  <si>
    <t>0928663076</t>
    <phoneticPr fontId="1" type="noConversion"/>
  </si>
  <si>
    <t>0975130357</t>
    <phoneticPr fontId="1" type="noConversion"/>
  </si>
  <si>
    <t>是</t>
  </si>
  <si>
    <t>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</si>
</sst>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#,##0_ "/>
    <numFmt numFmtId="178" formatCode="#,##0.00_ ;[Red]\-#,##0.00\ "/>
  </numFmts>
  <fonts count="1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9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8"/>
      <color theme="1"/>
      <name val="標楷體"/>
      <family val="4"/>
      <charset val="136"/>
    </font>
    <font>
      <sz val="12"/>
      <color theme="1"/>
      <name val="微軟正黑體"/>
      <family val="2"/>
      <charset val="136"/>
    </font>
    <font>
      <sz val="12"/>
      <color rgb="FFFF0000"/>
      <name val="標楷體"/>
      <family val="4"/>
      <charset val="136"/>
    </font>
    <font>
      <b/>
      <sz val="16"/>
      <color theme="0"/>
      <name val="標楷體"/>
      <family val="4"/>
      <charset val="136"/>
    </font>
    <font>
      <sz val="16"/>
      <color theme="1"/>
      <name val="標楷體"/>
      <family val="4"/>
      <charset val="136"/>
    </font>
    <font>
      <sz val="14"/>
      <color theme="8" tint="-0.499984740745262"/>
      <name val="標楷體"/>
      <family val="4"/>
      <charset val="136"/>
    </font>
    <font>
      <sz val="13"/>
      <color theme="8" tint="-0.499984740745262"/>
      <name val="標楷體"/>
      <family val="4"/>
      <charset val="136"/>
    </font>
    <font>
      <sz val="18"/>
      <color theme="1"/>
      <name val="Microsoft JhengHei"/>
      <family val="4"/>
      <charset val="136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thin">
        <color indexed="64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indexed="64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indexed="64"/>
      </left>
      <right style="thin">
        <color indexed="64"/>
      </right>
      <top/>
      <bottom style="thin">
        <color rgb="FF00B0F0"/>
      </bottom>
      <diagonal/>
    </border>
    <border>
      <left style="thin">
        <color indexed="64"/>
      </left>
      <right style="thin">
        <color rgb="FF00B0F0"/>
      </right>
      <top/>
      <bottom style="thin">
        <color rgb="FF00B0F0"/>
      </bottom>
      <diagonal/>
    </border>
    <border>
      <left style="thin">
        <color auto="1"/>
      </left>
      <right/>
      <top style="thin">
        <color rgb="FF00B0F0"/>
      </top>
      <bottom style="thin">
        <color rgb="FF00B0F0"/>
      </bottom>
      <diagonal/>
    </border>
    <border>
      <left/>
      <right style="thin">
        <color indexed="64"/>
      </right>
      <top/>
      <bottom style="thin">
        <color rgb="FF00B0F0"/>
      </bottom>
      <diagonal/>
    </border>
    <border>
      <left/>
      <right style="thin">
        <color indexed="64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indexed="64"/>
      </left>
      <right/>
      <top style="thin">
        <color rgb="FF00B0F0"/>
      </top>
      <bottom/>
      <diagonal/>
    </border>
  </borders>
  <cellStyleXfs count="1">
    <xf numFmtId="0" fontId="0" fillId="0" borderId="0">
      <alignment vertical="center"/>
    </xf>
  </cellStyleXfs>
  <cellXfs count="85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0" fillId="4" borderId="0" xfId="0" applyFill="1">
      <alignment vertical="center"/>
    </xf>
    <xf numFmtId="178" fontId="0" fillId="0" borderId="0" xfId="0" applyNumberFormat="1">
      <alignment vertical="center"/>
    </xf>
    <xf numFmtId="0" fontId="0" fillId="0" borderId="3" xfId="0" applyBorder="1">
      <alignment vertical="center"/>
    </xf>
    <xf numFmtId="10" fontId="2" fillId="0" borderId="0" xfId="0" applyNumberFormat="1" applyFont="1">
      <alignment vertical="center"/>
    </xf>
    <xf numFmtId="0" fontId="8" fillId="2" borderId="0" xfId="0" applyFont="1" applyFill="1" applyAlignment="1">
      <alignment horizontal="center" vertical="center"/>
    </xf>
    <xf numFmtId="176" fontId="5" fillId="0" borderId="12" xfId="0" applyNumberFormat="1" applyFont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alignment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10" fillId="3" borderId="2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49" fontId="2" fillId="0" borderId="0" xfId="0" applyNumberFormat="1" applyFont="1">
      <alignment vertical="center"/>
    </xf>
    <xf numFmtId="0" fontId="5" fillId="0" borderId="0" xfId="0" applyFont="1" applyAlignment="1" applyProtection="1">
      <alignment horizontal="left" vertical="center"/>
      <protection locked="0"/>
    </xf>
    <xf numFmtId="49" fontId="5" fillId="0" borderId="0" xfId="0" applyNumberFormat="1" applyFont="1" applyAlignment="1" applyProtection="1">
      <alignment horizontal="center" vertical="center"/>
      <protection locked="0"/>
    </xf>
    <xf numFmtId="177" fontId="5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Protection="1">
      <alignment vertical="center"/>
      <protection locked="0"/>
    </xf>
    <xf numFmtId="0" fontId="10" fillId="5" borderId="0" xfId="0" applyFont="1" applyFill="1" applyAlignment="1">
      <alignment horizontal="left" vertical="center"/>
    </xf>
    <xf numFmtId="0" fontId="7" fillId="0" borderId="5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49" fontId="5" fillId="0" borderId="8" xfId="0" applyNumberFormat="1" applyFont="1" applyBorder="1" applyAlignment="1" applyProtection="1">
      <alignment horizontal="center" vertical="center"/>
      <protection locked="0"/>
    </xf>
    <xf numFmtId="49" fontId="5" fillId="0" borderId="12" xfId="0" applyNumberFormat="1" applyFont="1" applyBorder="1" applyAlignment="1" applyProtection="1">
      <alignment horizontal="center" vertical="center"/>
      <protection locked="0"/>
    </xf>
    <xf numFmtId="49" fontId="5" fillId="0" borderId="9" xfId="0" applyNumberFormat="1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 applyProtection="1">
      <alignment horizontal="center" vertical="center"/>
      <protection locked="0"/>
    </xf>
    <xf numFmtId="0" fontId="10" fillId="3" borderId="12" xfId="0" applyFont="1" applyFill="1" applyBorder="1" applyAlignment="1">
      <alignment horizontal="left" vertical="center"/>
    </xf>
    <xf numFmtId="0" fontId="10" fillId="3" borderId="9" xfId="0" applyFont="1" applyFill="1" applyBorder="1" applyAlignment="1">
      <alignment horizontal="left" vertical="center"/>
    </xf>
    <xf numFmtId="177" fontId="5" fillId="0" borderId="19" xfId="0" applyNumberFormat="1" applyFont="1" applyBorder="1" applyAlignment="1" applyProtection="1">
      <alignment horizontal="center" vertical="center"/>
      <protection locked="0"/>
    </xf>
    <xf numFmtId="177" fontId="5" fillId="0" borderId="16" xfId="0" applyNumberFormat="1" applyFont="1" applyBorder="1" applyAlignment="1" applyProtection="1">
      <alignment horizontal="center" vertical="center"/>
      <protection locked="0"/>
    </xf>
    <xf numFmtId="177" fontId="5" fillId="0" borderId="17" xfId="0" applyNumberFormat="1" applyFont="1" applyBorder="1" applyAlignment="1" applyProtection="1">
      <alignment horizontal="center" vertical="center"/>
      <protection locked="0"/>
    </xf>
    <xf numFmtId="49" fontId="5" fillId="0" borderId="2" xfId="0" applyNumberFormat="1" applyFont="1" applyBorder="1" applyAlignment="1" applyProtection="1">
      <alignment horizontal="center" vertical="center"/>
      <protection locked="0"/>
    </xf>
    <xf numFmtId="0" fontId="12" fillId="0" borderId="14" xfId="0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5" fillId="0" borderId="14" xfId="0" applyFont="1" applyBorder="1" applyAlignment="1" applyProtection="1">
      <alignment horizontal="center" vertical="center"/>
      <protection locked="0"/>
    </xf>
    <xf numFmtId="49" fontId="5" fillId="0" borderId="14" xfId="0" applyNumberFormat="1" applyFont="1" applyBorder="1" applyAlignment="1" applyProtection="1">
      <alignment horizontal="center" vertical="center"/>
      <protection locked="0"/>
    </xf>
    <xf numFmtId="49" fontId="5" fillId="0" borderId="10" xfId="0" applyNumberFormat="1" applyFont="1" applyBorder="1" applyAlignment="1" applyProtection="1">
      <alignment horizontal="center" vertical="center"/>
      <protection locked="0"/>
    </xf>
    <xf numFmtId="49" fontId="5" fillId="0" borderId="11" xfId="0" applyNumberFormat="1" applyFont="1" applyBorder="1" applyAlignment="1" applyProtection="1">
      <alignment horizontal="center" vertical="center"/>
      <protection locked="0"/>
    </xf>
    <xf numFmtId="0" fontId="5" fillId="0" borderId="14" xfId="0" applyFont="1" applyBorder="1" applyAlignment="1" applyProtection="1">
      <alignment horizontal="left" vertical="center"/>
      <protection locked="0"/>
    </xf>
    <xf numFmtId="0" fontId="5" fillId="0" borderId="10" xfId="0" applyFont="1" applyBorder="1" applyAlignment="1" applyProtection="1">
      <alignment horizontal="left" vertical="center"/>
      <protection locked="0"/>
    </xf>
    <xf numFmtId="0" fontId="5" fillId="0" borderId="11" xfId="0" applyFont="1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5" borderId="8" xfId="0" applyFont="1" applyFill="1" applyBorder="1" applyAlignment="1" applyProtection="1">
      <alignment horizontal="center" vertical="center"/>
      <protection locked="0"/>
    </xf>
    <xf numFmtId="0" fontId="9" fillId="5" borderId="9" xfId="0" applyFont="1" applyFill="1" applyBorder="1" applyAlignment="1" applyProtection="1">
      <alignment horizontal="center" vertical="center"/>
      <protection locked="0"/>
    </xf>
    <xf numFmtId="0" fontId="9" fillId="5" borderId="2" xfId="0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0" fillId="4" borderId="0" xfId="0" applyFill="1" applyAlignment="1">
      <alignment horizontal="center" vertical="center"/>
    </xf>
    <xf numFmtId="177" fontId="5" fillId="0" borderId="12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vertical="center" wrapText="1"/>
    </xf>
    <xf numFmtId="0" fontId="5" fillId="0" borderId="13" xfId="0" applyFont="1" applyBorder="1" applyAlignment="1" applyProtection="1">
      <alignment horizontal="left" vertical="center"/>
      <protection locked="0"/>
    </xf>
    <xf numFmtId="0" fontId="5" fillId="0" borderId="7" xfId="0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 applyProtection="1">
      <alignment horizontal="left" vertical="center"/>
      <protection locked="0"/>
    </xf>
    <xf numFmtId="0" fontId="5" fillId="0" borderId="12" xfId="0" applyFont="1" applyBorder="1" applyAlignment="1" applyProtection="1">
      <alignment horizontal="left" vertical="center"/>
      <protection locked="0"/>
    </xf>
    <xf numFmtId="0" fontId="5" fillId="0" borderId="9" xfId="0" applyFont="1" applyBorder="1" applyAlignment="1" applyProtection="1">
      <alignment horizontal="left" vertical="center"/>
      <protection locked="0"/>
    </xf>
    <xf numFmtId="177" fontId="5" fillId="3" borderId="13" xfId="0" applyNumberFormat="1" applyFont="1" applyFill="1" applyBorder="1" applyAlignment="1">
      <alignment horizontal="center" vertical="center"/>
    </xf>
    <xf numFmtId="177" fontId="5" fillId="3" borderId="7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9" fillId="0" borderId="20" xfId="0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22" xfId="0" applyFont="1" applyBorder="1" applyAlignment="1" applyProtection="1">
      <alignment horizontal="center" vertical="center"/>
      <protection locked="0"/>
    </xf>
    <xf numFmtId="0" fontId="9" fillId="0" borderId="14" xfId="0" applyFont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0" fontId="9" fillId="0" borderId="18" xfId="0" applyFont="1" applyBorder="1" applyAlignment="1" applyProtection="1">
      <alignment horizontal="center" vertical="center"/>
      <protection locked="0"/>
    </xf>
  </cellXfs>
  <cellStyles count="1">
    <cellStyle name="一般" xfId="0" builtinId="0"/>
  </cellStyles>
  <dxfs count="2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266700</xdr:colOff>
      <xdr:row>0</xdr:row>
      <xdr:rowOff>315778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F6184ED7-0105-49E7-8633-C3F03D96D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7650" y="57150"/>
          <a:ext cx="342900" cy="25862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5E6B6-2DD8-4B9B-8CDE-38BCD3EEF298}">
  <dimension ref="A1:AH22"/>
  <sheetViews>
    <sheetView showGridLines="0" tabSelected="1" zoomScale="85" zoomScaleNormal="85" workbookViewId="0">
      <pane ySplit="2" topLeftCell="A3" activePane="bottomLeft" state="frozen"/>
      <selection pane="bottomLeft" activeCell="Y14" sqref="Y14"/>
    </sheetView>
  </sheetViews>
  <sheetFormatPr defaultColWidth="0" defaultRowHeight="16.5" zeroHeight="1"/>
  <cols>
    <col min="1" max="10" width="7.75" style="2" customWidth="1"/>
    <col min="11" max="11" width="1.75" style="2" customWidth="1"/>
    <col min="12" max="13" width="7.625" style="2" customWidth="1"/>
    <col min="14" max="26" width="4.125" style="2" customWidth="1"/>
    <col min="27" max="28" width="11.375" style="2" hidden="1" customWidth="1"/>
    <col min="29" max="29" width="15.75" style="2" hidden="1" customWidth="1"/>
    <col min="30" max="30" width="11.25" style="2" hidden="1" customWidth="1"/>
    <col min="31" max="34" width="0" style="2" hidden="1" customWidth="1"/>
    <col min="35" max="16384" width="9" style="2" hidden="1"/>
  </cols>
  <sheetData>
    <row r="1" spans="1:34" ht="25.5" customHeight="1">
      <c r="A1" s="62" t="s">
        <v>10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21"/>
    </row>
    <row r="2" spans="1:34" ht="25.5" customHeight="1">
      <c r="A2" s="63" t="s">
        <v>67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22"/>
      <c r="AC2" s="24"/>
      <c r="AD2" s="2" t="s">
        <v>66</v>
      </c>
      <c r="AE2" s="8">
        <v>0.1575</v>
      </c>
    </row>
    <row r="3" spans="1:34" ht="5.0999999999999996" customHeight="1"/>
    <row r="4" spans="1:34" ht="20.100000000000001" customHeight="1">
      <c r="A4" s="77" t="s">
        <v>0</v>
      </c>
      <c r="B4" s="78"/>
      <c r="L4" s="77" t="s">
        <v>1</v>
      </c>
      <c r="M4" s="78"/>
      <c r="N4" s="9"/>
      <c r="X4" s="35" t="s">
        <v>109</v>
      </c>
      <c r="Y4" s="35"/>
      <c r="Z4" s="3"/>
      <c r="AD4" s="66" t="s">
        <v>61</v>
      </c>
      <c r="AE4" s="66"/>
      <c r="AF4" s="4"/>
      <c r="AG4" s="5" t="s">
        <v>5</v>
      </c>
      <c r="AH4" s="5" t="s">
        <v>62</v>
      </c>
    </row>
    <row r="5" spans="1:34" ht="39.950000000000003" customHeight="1">
      <c r="A5" s="13" t="s">
        <v>11</v>
      </c>
      <c r="B5" s="44" t="s">
        <v>112</v>
      </c>
      <c r="C5" s="45"/>
      <c r="D5" s="45"/>
      <c r="E5" s="46"/>
      <c r="F5" s="15" t="s">
        <v>9</v>
      </c>
      <c r="G5" s="47" t="s">
        <v>113</v>
      </c>
      <c r="H5" s="45"/>
      <c r="I5" s="45"/>
      <c r="J5" s="46"/>
      <c r="L5" s="13" t="s">
        <v>20</v>
      </c>
      <c r="M5" s="51" t="s">
        <v>119</v>
      </c>
      <c r="N5" s="51"/>
      <c r="O5" s="52"/>
      <c r="P5" s="52"/>
      <c r="Q5" s="52"/>
      <c r="R5" s="52"/>
      <c r="S5" s="52"/>
      <c r="T5" s="52"/>
      <c r="U5" s="52"/>
      <c r="V5" s="52"/>
      <c r="W5" s="52"/>
      <c r="X5" s="52"/>
      <c r="Y5" s="53"/>
      <c r="Z5" s="25"/>
      <c r="AD5" t="s">
        <v>63</v>
      </c>
      <c r="AE5" s="6">
        <f>PMT($AE$2/12,$G$13,-10000)</f>
        <v>488.43742348769126</v>
      </c>
      <c r="AF5" s="4"/>
      <c r="AG5"/>
      <c r="AH5"/>
    </row>
    <row r="6" spans="1:34" ht="39.950000000000003" customHeight="1">
      <c r="A6" s="13" t="s">
        <v>12</v>
      </c>
      <c r="B6" s="33" t="s">
        <v>114</v>
      </c>
      <c r="C6" s="33"/>
      <c r="D6" s="33"/>
      <c r="E6" s="34"/>
      <c r="F6" s="13" t="s">
        <v>17</v>
      </c>
      <c r="G6" s="64" t="s">
        <v>68</v>
      </c>
      <c r="H6" s="65"/>
      <c r="I6" s="13" t="s">
        <v>99</v>
      </c>
      <c r="J6" s="12" t="s">
        <v>116</v>
      </c>
      <c r="L6" s="13" t="s">
        <v>21</v>
      </c>
      <c r="M6" s="32"/>
      <c r="N6" s="33"/>
      <c r="O6" s="33"/>
      <c r="P6" s="33"/>
      <c r="Q6" s="34"/>
      <c r="R6" s="36" t="s">
        <v>22</v>
      </c>
      <c r="S6" s="36"/>
      <c r="T6" s="43" t="s">
        <v>120</v>
      </c>
      <c r="U6" s="43"/>
      <c r="V6" s="43"/>
      <c r="W6" s="43"/>
      <c r="X6" s="43"/>
      <c r="Y6" s="43"/>
      <c r="Z6" s="26"/>
      <c r="AA6" s="2" t="str">
        <f>IF(VALUE(B6)&gt;0,TEXT(VALUE(B6)+19110000,"@"),"")</f>
        <v>20251126</v>
      </c>
      <c r="AB6" s="2" t="str">
        <f>LEFT(AA6,4) &amp; "/" &amp; MID(AA6,5,2) &amp; "/" &amp; MID(AA6,7,2)</f>
        <v>2025/11/26</v>
      </c>
      <c r="AC6" s="2" t="b">
        <f>ISNUMBER( DATEVALUE(AB6))</f>
        <v>1</v>
      </c>
      <c r="AD6" s="7" t="s">
        <v>64</v>
      </c>
      <c r="AE6" s="7">
        <f>ROUND(($B$13/10000)*$AE$5,0)</f>
        <v>14653</v>
      </c>
      <c r="AF6" s="4"/>
      <c r="AG6" s="7"/>
      <c r="AH6" s="7"/>
    </row>
    <row r="7" spans="1:34" ht="39.950000000000003" customHeight="1">
      <c r="A7" s="13" t="s">
        <v>13</v>
      </c>
      <c r="B7" s="33" t="s">
        <v>115</v>
      </c>
      <c r="C7" s="33"/>
      <c r="D7" s="33"/>
      <c r="E7" s="34"/>
      <c r="F7" s="13" t="s">
        <v>18</v>
      </c>
      <c r="G7" s="48" t="s">
        <v>117</v>
      </c>
      <c r="H7" s="49"/>
      <c r="I7" s="49"/>
      <c r="J7" s="50"/>
      <c r="L7" s="13" t="s">
        <v>23</v>
      </c>
      <c r="M7" s="51" t="s">
        <v>121</v>
      </c>
      <c r="N7" s="51"/>
      <c r="O7" s="52"/>
      <c r="P7" s="52"/>
      <c r="Q7" s="52"/>
      <c r="R7" s="52"/>
      <c r="S7" s="52"/>
      <c r="T7" s="52"/>
      <c r="U7" s="52"/>
      <c r="V7" s="52"/>
      <c r="W7" s="52"/>
      <c r="X7" s="52"/>
      <c r="Y7" s="53"/>
      <c r="Z7" s="25"/>
      <c r="AA7" s="2" t="str">
        <f>IF(VALUE(B7)&gt;0,TEXT(VALUE(B7)+19110000,"@"),"")</f>
        <v>19770602</v>
      </c>
      <c r="AB7" s="2" t="str">
        <f>LEFT(AA7,4) &amp; "/" &amp; MID(AA7,5,2) &amp; "/" &amp; MID(AA7,7,2)</f>
        <v>1977/06/02</v>
      </c>
      <c r="AC7" s="2" t="b">
        <f>ISNUMBER( DATEVALUE(AB7))</f>
        <v>1</v>
      </c>
      <c r="AD7" s="1" t="s">
        <v>62</v>
      </c>
      <c r="AE7" s="1" t="e">
        <f>VLOOKUP(TEXT($B$13,"#") &amp; "_" &amp; TEXT($G$13,"#"),$AG$5:$AH$8,2,FALSE)</f>
        <v>#N/A</v>
      </c>
      <c r="AF7" s="4"/>
      <c r="AG7" s="1"/>
      <c r="AH7" s="1"/>
    </row>
    <row r="8" spans="1:34" ht="39.950000000000003" customHeight="1">
      <c r="A8" s="13" t="s">
        <v>14</v>
      </c>
      <c r="B8" s="33"/>
      <c r="C8" s="33"/>
      <c r="D8" s="33"/>
      <c r="E8" s="34"/>
      <c r="F8" s="13" t="s">
        <v>19</v>
      </c>
      <c r="G8" s="33"/>
      <c r="H8" s="33"/>
      <c r="I8" s="33"/>
      <c r="J8" s="34"/>
      <c r="L8" s="16" t="s">
        <v>24</v>
      </c>
      <c r="M8" s="10">
        <v>14</v>
      </c>
      <c r="N8" s="18" t="s">
        <v>7</v>
      </c>
      <c r="O8" s="37">
        <v>4</v>
      </c>
      <c r="P8" s="37"/>
      <c r="Q8" s="38" t="s">
        <v>98</v>
      </c>
      <c r="R8" s="38"/>
      <c r="S8" s="38"/>
      <c r="T8" s="38"/>
      <c r="U8" s="38"/>
      <c r="V8" s="38"/>
      <c r="W8" s="38"/>
      <c r="X8" s="38"/>
      <c r="Y8" s="39"/>
      <c r="Z8" s="29"/>
      <c r="AD8" t="s">
        <v>65</v>
      </c>
      <c r="AE8">
        <f>IF(ISNA($AE$7),$AE$6,$AE$7)</f>
        <v>14653</v>
      </c>
      <c r="AF8" s="4"/>
      <c r="AG8" s="1"/>
      <c r="AH8" s="1"/>
    </row>
    <row r="9" spans="1:34" ht="39.950000000000003" customHeight="1">
      <c r="A9" s="13" t="s">
        <v>15</v>
      </c>
      <c r="B9" s="72" t="s">
        <v>118</v>
      </c>
      <c r="C9" s="73"/>
      <c r="D9" s="73"/>
      <c r="E9" s="73"/>
      <c r="F9" s="73"/>
      <c r="G9" s="73"/>
      <c r="H9" s="73"/>
      <c r="I9" s="73"/>
      <c r="J9" s="74"/>
      <c r="L9" s="17" t="s">
        <v>25</v>
      </c>
      <c r="M9" s="40">
        <v>100000</v>
      </c>
      <c r="N9" s="40"/>
      <c r="O9" s="41"/>
      <c r="P9" s="41"/>
      <c r="Q9" s="41"/>
      <c r="R9" s="41"/>
      <c r="S9" s="41"/>
      <c r="T9" s="41"/>
      <c r="U9" s="41"/>
      <c r="V9" s="41"/>
      <c r="W9" s="41"/>
      <c r="X9" s="41"/>
      <c r="Y9" s="42"/>
      <c r="Z9" s="27"/>
    </row>
    <row r="10" spans="1:34" ht="39.950000000000003" customHeight="1">
      <c r="A10" s="14" t="s">
        <v>16</v>
      </c>
      <c r="B10" s="70" t="s">
        <v>110</v>
      </c>
      <c r="C10" s="70"/>
      <c r="D10" s="70"/>
      <c r="E10" s="70"/>
      <c r="F10" s="70"/>
      <c r="G10" s="70"/>
      <c r="H10" s="70"/>
      <c r="I10" s="70"/>
      <c r="J10" s="71"/>
      <c r="L10" s="13" t="s">
        <v>100</v>
      </c>
      <c r="M10" s="40"/>
      <c r="N10" s="40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2"/>
      <c r="Z10" s="27"/>
    </row>
    <row r="11" spans="1:34" ht="5.0999999999999996" customHeight="1">
      <c r="B11" s="3"/>
      <c r="C11" s="3"/>
      <c r="D11" s="3"/>
      <c r="E11" s="3"/>
      <c r="F11" s="3"/>
      <c r="G11" s="3"/>
      <c r="H11" s="3"/>
      <c r="I11" s="3"/>
      <c r="J11" s="3"/>
    </row>
    <row r="12" spans="1:34" ht="20.100000000000001" customHeight="1">
      <c r="A12" s="77" t="s">
        <v>4</v>
      </c>
      <c r="B12" s="78"/>
      <c r="L12" s="77" t="s">
        <v>2</v>
      </c>
      <c r="M12" s="78"/>
      <c r="N12" s="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23"/>
    </row>
    <row r="13" spans="1:34" ht="39.950000000000003" customHeight="1">
      <c r="A13" s="13" t="s">
        <v>26</v>
      </c>
      <c r="B13" s="67">
        <v>300000</v>
      </c>
      <c r="C13" s="67"/>
      <c r="D13" s="67"/>
      <c r="E13" s="67"/>
      <c r="F13" s="13" t="s">
        <v>27</v>
      </c>
      <c r="G13" s="68">
        <v>24</v>
      </c>
      <c r="H13" s="68"/>
      <c r="I13" s="68"/>
      <c r="J13" s="65"/>
      <c r="L13" s="19" t="s">
        <v>11</v>
      </c>
      <c r="M13" s="79" t="s">
        <v>122</v>
      </c>
      <c r="N13" s="80"/>
      <c r="O13" s="81"/>
      <c r="P13" s="20" t="s">
        <v>96</v>
      </c>
      <c r="Q13" s="56" t="s">
        <v>124</v>
      </c>
      <c r="R13" s="57"/>
      <c r="S13" s="19" t="s">
        <v>97</v>
      </c>
      <c r="T13" s="59" t="s">
        <v>125</v>
      </c>
      <c r="U13" s="60"/>
      <c r="V13" s="60"/>
      <c r="W13" s="60"/>
      <c r="X13" s="13" t="s">
        <v>95</v>
      </c>
      <c r="Y13" s="11" t="s">
        <v>128</v>
      </c>
      <c r="Z13" s="28"/>
    </row>
    <row r="14" spans="1:34" ht="39.950000000000003" customHeight="1">
      <c r="A14" s="17" t="s">
        <v>6</v>
      </c>
      <c r="B14" s="75">
        <f>IF(ISERROR($AE$8),"",$AE$8)</f>
        <v>14653</v>
      </c>
      <c r="C14" s="75"/>
      <c r="D14" s="75"/>
      <c r="E14" s="75"/>
      <c r="F14" s="14" t="s">
        <v>28</v>
      </c>
      <c r="G14" s="75">
        <f xml:space="preserve"> IF(ISERROR($G$13*$B$14),"",$G$13*$B$14)</f>
        <v>351672</v>
      </c>
      <c r="H14" s="75"/>
      <c r="I14" s="75"/>
      <c r="J14" s="76"/>
      <c r="L14" s="13" t="s">
        <v>11</v>
      </c>
      <c r="M14" s="82" t="s">
        <v>123</v>
      </c>
      <c r="N14" s="83"/>
      <c r="O14" s="84"/>
      <c r="P14" s="20" t="s">
        <v>96</v>
      </c>
      <c r="Q14" s="56" t="s">
        <v>111</v>
      </c>
      <c r="R14" s="57"/>
      <c r="S14" s="19" t="s">
        <v>97</v>
      </c>
      <c r="T14" s="59" t="s">
        <v>126</v>
      </c>
      <c r="U14" s="60"/>
      <c r="V14" s="60"/>
      <c r="W14" s="60"/>
      <c r="X14" s="13" t="s">
        <v>95</v>
      </c>
      <c r="Y14" s="11" t="s">
        <v>127</v>
      </c>
      <c r="Z14" s="28"/>
    </row>
    <row r="15" spans="1:34" ht="39.950000000000003" customHeight="1">
      <c r="A15" s="30" t="s">
        <v>108</v>
      </c>
      <c r="B15" s="30"/>
      <c r="C15" s="30"/>
      <c r="D15" s="30"/>
      <c r="E15" s="30"/>
      <c r="F15" s="30"/>
      <c r="G15" s="30"/>
      <c r="H15" s="30"/>
      <c r="I15" s="30"/>
      <c r="J15" s="30"/>
      <c r="L15" s="13" t="s">
        <v>11</v>
      </c>
      <c r="M15" s="55"/>
      <c r="N15" s="55"/>
      <c r="O15" s="55"/>
      <c r="P15" s="13" t="s">
        <v>96</v>
      </c>
      <c r="Q15" s="58"/>
      <c r="R15" s="58"/>
      <c r="S15" s="13" t="s">
        <v>97</v>
      </c>
      <c r="T15" s="61"/>
      <c r="U15" s="61"/>
      <c r="V15" s="61"/>
      <c r="W15" s="61"/>
      <c r="X15" s="13" t="s">
        <v>95</v>
      </c>
      <c r="Y15" s="11"/>
      <c r="Z15" s="28"/>
    </row>
    <row r="16" spans="1:34">
      <c r="A16" s="31"/>
      <c r="B16" s="31"/>
      <c r="C16" s="31"/>
      <c r="D16" s="31"/>
      <c r="E16" s="31"/>
      <c r="F16" s="31"/>
      <c r="G16" s="31"/>
      <c r="H16" s="31"/>
      <c r="I16" s="31"/>
      <c r="J16" s="31"/>
      <c r="L16" s="54"/>
      <c r="M16" s="54"/>
      <c r="N16" s="3"/>
      <c r="O16" s="3"/>
      <c r="P16" s="3"/>
      <c r="Q16" s="54"/>
      <c r="R16" s="54"/>
      <c r="S16" s="54"/>
      <c r="T16" s="3"/>
      <c r="U16" s="54"/>
      <c r="V16" s="54"/>
      <c r="W16" s="54"/>
      <c r="X16" s="54"/>
      <c r="Y16" s="54"/>
      <c r="Z16" s="3"/>
    </row>
    <row r="17" s="2" customFormat="1"/>
    <row r="18" s="2" customFormat="1" hidden="1"/>
    <row r="19" s="2" customFormat="1" hidden="1"/>
    <row r="20" s="2" customFormat="1" hidden="1"/>
    <row r="21" s="2" customFormat="1" hidden="1"/>
    <row r="22" s="2" customFormat="1" hidden="1"/>
  </sheetData>
  <sheetProtection algorithmName="SHA-512" hashValue="pSlU5FB8qUpeOzKaozvtSIzWW8yLrAQ53qJovs9ylgNLN8Gz4hPNC4BY3SbvnE63VuL6ZUYn55WAl7B8Jgt6cQ==" saltValue="HuraIeCnbixDfus1I0foHQ==" spinCount="100000" sheet="1" selectLockedCells="1"/>
  <mergeCells count="45">
    <mergeCell ref="B14:E14"/>
    <mergeCell ref="G14:J14"/>
    <mergeCell ref="A4:B4"/>
    <mergeCell ref="L4:M4"/>
    <mergeCell ref="A12:B12"/>
    <mergeCell ref="L12:M12"/>
    <mergeCell ref="M13:O13"/>
    <mergeCell ref="M14:O14"/>
    <mergeCell ref="A1:Y1"/>
    <mergeCell ref="A2:Y2"/>
    <mergeCell ref="G6:H6"/>
    <mergeCell ref="AD4:AE4"/>
    <mergeCell ref="B13:E13"/>
    <mergeCell ref="G13:J13"/>
    <mergeCell ref="O12:Y12"/>
    <mergeCell ref="M10:Y10"/>
    <mergeCell ref="B6:E6"/>
    <mergeCell ref="B8:E8"/>
    <mergeCell ref="G8:J8"/>
    <mergeCell ref="B10:J10"/>
    <mergeCell ref="M7:Y7"/>
    <mergeCell ref="B9:J9"/>
    <mergeCell ref="M15:O15"/>
    <mergeCell ref="Q13:R13"/>
    <mergeCell ref="Q14:R14"/>
    <mergeCell ref="Q15:R15"/>
    <mergeCell ref="T13:W13"/>
    <mergeCell ref="T14:W14"/>
    <mergeCell ref="T15:W15"/>
    <mergeCell ref="A15:J16"/>
    <mergeCell ref="M6:Q6"/>
    <mergeCell ref="X4:Y4"/>
    <mergeCell ref="R6:S6"/>
    <mergeCell ref="O8:P8"/>
    <mergeCell ref="Q8:Y8"/>
    <mergeCell ref="M9:Y9"/>
    <mergeCell ref="T6:Y6"/>
    <mergeCell ref="B5:E5"/>
    <mergeCell ref="G5:J5"/>
    <mergeCell ref="G7:J7"/>
    <mergeCell ref="B7:E7"/>
    <mergeCell ref="M5:Y5"/>
    <mergeCell ref="L16:M16"/>
    <mergeCell ref="Q16:S16"/>
    <mergeCell ref="U16:Y16"/>
  </mergeCells>
  <phoneticPr fontId="1" type="noConversion"/>
  <conditionalFormatting sqref="A5">
    <cfRule type="expression" dxfId="25" priority="28">
      <formula>($B$5="")</formula>
    </cfRule>
  </conditionalFormatting>
  <conditionalFormatting sqref="A6">
    <cfRule type="expression" dxfId="24" priority="26">
      <formula>($B$6="")</formula>
    </cfRule>
  </conditionalFormatting>
  <conditionalFormatting sqref="A7">
    <cfRule type="expression" dxfId="23" priority="23">
      <formula>($B$7="")</formula>
    </cfRule>
  </conditionalFormatting>
  <conditionalFormatting sqref="A8">
    <cfRule type="expression" dxfId="22" priority="21">
      <formula>$B$8=""</formula>
    </cfRule>
  </conditionalFormatting>
  <conditionalFormatting sqref="A9">
    <cfRule type="expression" dxfId="21" priority="19">
      <formula>$B$9=""</formula>
    </cfRule>
  </conditionalFormatting>
  <conditionalFormatting sqref="A10">
    <cfRule type="expression" dxfId="20" priority="18">
      <formula>$B$10=""</formula>
    </cfRule>
  </conditionalFormatting>
  <conditionalFormatting sqref="A13">
    <cfRule type="expression" dxfId="19" priority="17">
      <formula>$B$13=""</formula>
    </cfRule>
  </conditionalFormatting>
  <conditionalFormatting sqref="F5">
    <cfRule type="expression" dxfId="18" priority="27">
      <formula>($G$5="")</formula>
    </cfRule>
  </conditionalFormatting>
  <conditionalFormatting sqref="F6">
    <cfRule type="expression" dxfId="17" priority="25">
      <formula>($G$6="")</formula>
    </cfRule>
  </conditionalFormatting>
  <conditionalFormatting sqref="F7">
    <cfRule type="expression" dxfId="16" priority="22">
      <formula>($G$7="")</formula>
    </cfRule>
  </conditionalFormatting>
  <conditionalFormatting sqref="F8">
    <cfRule type="expression" dxfId="15" priority="20">
      <formula>AND($G$8="",$G$7="")</formula>
    </cfRule>
  </conditionalFormatting>
  <conditionalFormatting sqref="F13">
    <cfRule type="expression" dxfId="14" priority="16">
      <formula>$G$13=""</formula>
    </cfRule>
  </conditionalFormatting>
  <conditionalFormatting sqref="I6">
    <cfRule type="expression" dxfId="13" priority="24">
      <formula>($J$6="")</formula>
    </cfRule>
  </conditionalFormatting>
  <conditionalFormatting sqref="L5">
    <cfRule type="expression" dxfId="12" priority="6">
      <formula>AND($M$10="",$M$5="")</formula>
    </cfRule>
  </conditionalFormatting>
  <conditionalFormatting sqref="L7:L9">
    <cfRule type="expression" dxfId="11" priority="2">
      <formula>AND($M$10="",$M$8="",$O$8="")</formula>
    </cfRule>
  </conditionalFormatting>
  <conditionalFormatting sqref="L10">
    <cfRule type="expression" dxfId="10" priority="1">
      <formula>AND($M$5="",$M$10="")</formula>
    </cfRule>
  </conditionalFormatting>
  <conditionalFormatting sqref="L13">
    <cfRule type="expression" dxfId="9" priority="15">
      <formula>$M$13=""</formula>
    </cfRule>
  </conditionalFormatting>
  <conditionalFormatting sqref="L14">
    <cfRule type="expression" dxfId="8" priority="12">
      <formula>$M$14=""</formula>
    </cfRule>
  </conditionalFormatting>
  <conditionalFormatting sqref="L15">
    <cfRule type="expression" dxfId="7" priority="9">
      <formula>AND($Q$13="朋友",$Q$14="朋友")</formula>
    </cfRule>
  </conditionalFormatting>
  <conditionalFormatting sqref="P13">
    <cfRule type="expression" dxfId="6" priority="14">
      <formula>$Q$13=""</formula>
    </cfRule>
  </conditionalFormatting>
  <conditionalFormatting sqref="P14">
    <cfRule type="expression" dxfId="5" priority="11">
      <formula>$Q$14=""</formula>
    </cfRule>
  </conditionalFormatting>
  <conditionalFormatting sqref="P15">
    <cfRule type="expression" dxfId="4" priority="8">
      <formula>AND($Q$13="朋友",$Q$14="朋友")</formula>
    </cfRule>
  </conditionalFormatting>
  <conditionalFormatting sqref="R6:S6">
    <cfRule type="expression" dxfId="3" priority="3">
      <formula>AND($M$10="",$T$6="")</formula>
    </cfRule>
  </conditionalFormatting>
  <conditionalFormatting sqref="S13">
    <cfRule type="expression" dxfId="2" priority="13">
      <formula>$T$13=""</formula>
    </cfRule>
  </conditionalFormatting>
  <conditionalFormatting sqref="S14">
    <cfRule type="expression" dxfId="1" priority="10">
      <formula>$T$14=""</formula>
    </cfRule>
  </conditionalFormatting>
  <conditionalFormatting sqref="S15">
    <cfRule type="expression" dxfId="0" priority="7">
      <formula>AND($Q$13="朋友",$Q$14="朋友")</formula>
    </cfRule>
  </conditionalFormatting>
  <dataValidations count="11">
    <dataValidation type="custom" allowBlank="1" showInputMessage="1" showErrorMessage="1" errorTitle="發證日期錯誤" error="請輸入正確民國日期yyymmdd" sqref="B6:E6" xr:uid="{EBEF154D-6ABC-4FC2-A0F2-1C7413A73EB3}">
      <formula1>AC6</formula1>
    </dataValidation>
    <dataValidation type="list" allowBlank="1" showInputMessage="1" showErrorMessage="1" errorTitle="換發/補發" error="請正確選擇【換發】或【補發】" sqref="J6" xr:uid="{C9F341F5-6618-4BA9-B90E-AD6E3F99487E}">
      <formula1>"初發,換發,補發"</formula1>
    </dataValidation>
    <dataValidation type="custom" allowBlank="1" showInputMessage="1" showErrorMessage="1" errorTitle="出生日期錯誤" error="請正確輸入民國日期yyymmdd" sqref="B7:E7" xr:uid="{666A9187-B62F-41ED-BD49-28102252099D}">
      <formula1>AC7</formula1>
    </dataValidation>
    <dataValidation type="whole" allowBlank="1" showInputMessage="1" showErrorMessage="1" errorTitle="年資輸入錯誤" error="請輸入0~50之間數字或保持空白" sqref="M8" xr:uid="{06AC02FB-89AB-4F42-88AA-52826DC7B2B6}">
      <formula1>0</formula1>
      <formula2>50</formula2>
    </dataValidation>
    <dataValidation type="whole" operator="greaterThanOrEqual" allowBlank="1" showInputMessage="1" showErrorMessage="1" sqref="M9:Z9" xr:uid="{9A41FFA0-5EEB-4081-8ABD-7467A8E99D94}">
      <formula1>0</formula1>
    </dataValidation>
    <dataValidation type="textLength" operator="equal" allowBlank="1" showErrorMessage="1" errorTitle="身分證輸入錯誤" error="長度必須為10碼" sqref="G5:J5" xr:uid="{8B6845ED-7FCA-4DF5-8324-64C6838DCA42}">
      <formula1>10</formula1>
    </dataValidation>
    <dataValidation type="textLength" allowBlank="1" showInputMessage="1" showErrorMessage="1" errorTitle="行動電話錯誤" error="長度必須為10碼" sqref="G7:J7" xr:uid="{8291CD4C-54D1-4F6A-A22A-03E72175D1F9}">
      <formula1>10</formula1>
      <formula2>10</formula2>
    </dataValidation>
    <dataValidation type="list" allowBlank="1" showInputMessage="1" showErrorMessage="1" errorTitle="保密輸入錯入" error="請選擇【是】或保持空白" sqref="Y14:Z15" xr:uid="{1DE46222-7A69-4BA4-B9B3-52484BE08542}">
      <formula1>"是"</formula1>
    </dataValidation>
    <dataValidation type="list" allowBlank="1" showInputMessage="1" showErrorMessage="1" errorTitle="保密輸入錯入" error="請選擇【是】或保持空白" sqref="Y13:Z13" xr:uid="{C95F1617-446D-4862-AE5D-AAB8B855206F}">
      <formula1>"　,是"</formula1>
    </dataValidation>
    <dataValidation type="whole" allowBlank="1" showInputMessage="1" showErrorMessage="1" errorTitle="年資月數錯誤" error="請輸入０~11的數字" sqref="Q8" xr:uid="{10C6AE75-B57F-4327-AEC6-32BFC7C56DFC}">
      <formula1>0</formula1>
      <formula2>11</formula2>
    </dataValidation>
    <dataValidation type="whole" allowBlank="1" showInputMessage="1" showErrorMessage="1" errorTitle="年資月數錯誤" error="請填入0~11的整數" sqref="O8:P8" xr:uid="{17B4FF11-21BB-4047-A003-DCDF31E8F2C3}">
      <formula1>0</formula1>
      <formula2>11</formula2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換證地點錯誤" error="請輸入清單內的選項" xr:uid="{AC84AF7D-B2EC-4C11-9860-2AF5FA24D020}">
          <x14:formula1>
            <xm:f>代碼表!$C$2:$C$28</xm:f>
          </x14:formula1>
          <xm:sqref>G6:H6</xm:sqref>
        </x14:dataValidation>
        <x14:dataValidation type="list" allowBlank="1" showInputMessage="1" showErrorMessage="1" xr:uid="{04F151AA-41BF-4B38-94A4-E40A2D5E73BA}">
          <x14:formula1>
            <xm:f>代碼表!$A$2:$A$33</xm:f>
          </x14:formula1>
          <xm:sqref>Q13:R15</xm:sqref>
        </x14:dataValidation>
        <x14:dataValidation type="list" operator="greaterThanOrEqual" allowBlank="1" showInputMessage="1" showErrorMessage="1" xr:uid="{662FB09B-F7DD-4AFA-B719-7BE5AE674CA4}">
          <x14:formula1>
            <xm:f>代碼表!$E$2:$E$8</xm:f>
          </x14:formula1>
          <xm:sqref>M10:Z10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6A6DF-66F5-454A-8AD7-6883B2F5FBE3}">
  <dimension ref="A1:E33"/>
  <sheetViews>
    <sheetView workbookViewId="0">
      <pane ySplit="1" topLeftCell="A2" activePane="bottomLeft" state="frozen"/>
      <selection pane="bottomLeft" activeCell="E6" sqref="E6"/>
    </sheetView>
  </sheetViews>
  <sheetFormatPr defaultRowHeight="16.5"/>
  <cols>
    <col min="5" max="5" width="21.125" bestFit="1" customWidth="1"/>
  </cols>
  <sheetData>
    <row r="1" spans="1:5">
      <c r="A1" t="s">
        <v>3</v>
      </c>
      <c r="C1" t="s">
        <v>8</v>
      </c>
      <c r="E1" t="s">
        <v>101</v>
      </c>
    </row>
    <row r="2" spans="1:5">
      <c r="A2" t="s">
        <v>29</v>
      </c>
      <c r="C2" t="s">
        <v>68</v>
      </c>
    </row>
    <row r="3" spans="1:5">
      <c r="A3" t="s">
        <v>30</v>
      </c>
      <c r="C3" t="s">
        <v>69</v>
      </c>
      <c r="E3" t="s">
        <v>102</v>
      </c>
    </row>
    <row r="4" spans="1:5">
      <c r="A4" t="s">
        <v>31</v>
      </c>
      <c r="C4" t="s">
        <v>70</v>
      </c>
      <c r="E4" t="s">
        <v>103</v>
      </c>
    </row>
    <row r="5" spans="1:5">
      <c r="A5" t="s">
        <v>32</v>
      </c>
      <c r="C5" t="s">
        <v>71</v>
      </c>
      <c r="E5" t="s">
        <v>104</v>
      </c>
    </row>
    <row r="6" spans="1:5">
      <c r="A6" t="s">
        <v>33</v>
      </c>
      <c r="C6" t="s">
        <v>72</v>
      </c>
      <c r="E6" t="s">
        <v>105</v>
      </c>
    </row>
    <row r="7" spans="1:5">
      <c r="A7" t="s">
        <v>34</v>
      </c>
      <c r="C7" t="s">
        <v>73</v>
      </c>
      <c r="E7" t="s">
        <v>106</v>
      </c>
    </row>
    <row r="8" spans="1:5">
      <c r="A8" t="s">
        <v>35</v>
      </c>
      <c r="C8" t="s">
        <v>74</v>
      </c>
      <c r="E8" t="s">
        <v>107</v>
      </c>
    </row>
    <row r="9" spans="1:5">
      <c r="A9" t="s">
        <v>36</v>
      </c>
      <c r="C9" t="s">
        <v>75</v>
      </c>
    </row>
    <row r="10" spans="1:5">
      <c r="A10" t="s">
        <v>37</v>
      </c>
      <c r="C10" t="s">
        <v>76</v>
      </c>
    </row>
    <row r="11" spans="1:5">
      <c r="A11" t="s">
        <v>38</v>
      </c>
      <c r="C11" t="s">
        <v>77</v>
      </c>
    </row>
    <row r="12" spans="1:5">
      <c r="A12" t="s">
        <v>39</v>
      </c>
      <c r="C12" t="s">
        <v>78</v>
      </c>
    </row>
    <row r="13" spans="1:5">
      <c r="A13" t="s">
        <v>40</v>
      </c>
      <c r="C13" t="s">
        <v>79</v>
      </c>
    </row>
    <row r="14" spans="1:5">
      <c r="A14" t="s">
        <v>41</v>
      </c>
      <c r="C14" t="s">
        <v>80</v>
      </c>
    </row>
    <row r="15" spans="1:5">
      <c r="A15" t="s">
        <v>42</v>
      </c>
      <c r="C15" t="s">
        <v>81</v>
      </c>
    </row>
    <row r="16" spans="1:5">
      <c r="A16" t="s">
        <v>43</v>
      </c>
      <c r="C16" t="s">
        <v>82</v>
      </c>
    </row>
    <row r="17" spans="1:3">
      <c r="A17" t="s">
        <v>44</v>
      </c>
      <c r="C17" t="s">
        <v>83</v>
      </c>
    </row>
    <row r="18" spans="1:3">
      <c r="A18" t="s">
        <v>45</v>
      </c>
      <c r="C18" t="s">
        <v>84</v>
      </c>
    </row>
    <row r="19" spans="1:3">
      <c r="A19" t="s">
        <v>46</v>
      </c>
      <c r="C19" t="s">
        <v>85</v>
      </c>
    </row>
    <row r="20" spans="1:3">
      <c r="A20" t="s">
        <v>47</v>
      </c>
      <c r="C20" t="s">
        <v>86</v>
      </c>
    </row>
    <row r="21" spans="1:3">
      <c r="A21" t="s">
        <v>48</v>
      </c>
      <c r="C21" t="s">
        <v>87</v>
      </c>
    </row>
    <row r="22" spans="1:3">
      <c r="A22" t="s">
        <v>49</v>
      </c>
      <c r="C22" t="s">
        <v>88</v>
      </c>
    </row>
    <row r="23" spans="1:3">
      <c r="A23" t="s">
        <v>50</v>
      </c>
      <c r="C23" t="s">
        <v>89</v>
      </c>
    </row>
    <row r="24" spans="1:3">
      <c r="A24" t="s">
        <v>51</v>
      </c>
      <c r="C24" t="s">
        <v>90</v>
      </c>
    </row>
    <row r="25" spans="1:3">
      <c r="A25" t="s">
        <v>52</v>
      </c>
      <c r="C25" t="s">
        <v>91</v>
      </c>
    </row>
    <row r="26" spans="1:3">
      <c r="A26" t="s">
        <v>53</v>
      </c>
      <c r="C26" t="s">
        <v>92</v>
      </c>
    </row>
    <row r="27" spans="1:3">
      <c r="A27" t="s">
        <v>54</v>
      </c>
      <c r="C27" t="s">
        <v>93</v>
      </c>
    </row>
    <row r="28" spans="1:3">
      <c r="A28" t="s">
        <v>55</v>
      </c>
      <c r="C28" t="s">
        <v>94</v>
      </c>
    </row>
    <row r="29" spans="1:3">
      <c r="A29" t="s">
        <v>56</v>
      </c>
    </row>
    <row r="30" spans="1:3">
      <c r="A30" t="s">
        <v>57</v>
      </c>
    </row>
    <row r="31" spans="1:3">
      <c r="A31" t="s">
        <v>58</v>
      </c>
    </row>
    <row r="32" spans="1:3">
      <c r="A32" t="s">
        <v>59</v>
      </c>
    </row>
    <row r="33" spans="1:1">
      <c r="A33" t="s">
        <v>60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1F4E95-5399-4952-BF55-C0314EC6A5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申請書</vt:lpstr>
      <vt:lpstr>代碼表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第一資融陳昕偉</dc:creator>
  <cp:lastModifiedBy>郁晴 邱</cp:lastModifiedBy>
  <cp:lastPrinted>2026-01-09T16:12:17Z</cp:lastPrinted>
  <dcterms:created xsi:type="dcterms:W3CDTF">2026-01-09T09:42:20Z</dcterms:created>
  <dcterms:modified xsi:type="dcterms:W3CDTF">2026-04-21T06:18:19Z</dcterms:modified>
</cp:coreProperties>
</file>