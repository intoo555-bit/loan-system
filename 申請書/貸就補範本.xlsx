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fbf32e69ea87f61e/Desktop/申請書/"/>
    </mc:Choice>
  </mc:AlternateContent>
  <xr:revisionPtr revIDLastSave="0" documentId="11_58537661B0946F4CCCACAD5FA11233590F3B2BE9" xr6:coauthVersionLast="47" xr6:coauthVersionMax="47" xr10:uidLastSave="{00000000-0000-0000-0000-000000000000}"/>
  <bookViews>
    <workbookView xWindow="19605" yWindow="195" windowWidth="18480" windowHeight="14610" xr2:uid="{00000000-000D-0000-FFFF-FFFF00000000}"/>
  </bookViews>
  <sheets>
    <sheet name="進件申請書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6" i="1" l="1"/>
  <c r="N4" i="1"/>
  <c r="N5" i="1" s="1"/>
  <c r="N8" i="1" l="1"/>
  <c r="G6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21世紀 馮盈瑛</author>
    <author>李志鴻</author>
  </authors>
  <commentList>
    <comment ref="J4" authorId="0" shapeId="0" xr:uid="{00000000-0006-0000-0000-000001000000}">
      <text>
        <r>
          <rPr>
            <sz val="9"/>
            <color indexed="81"/>
            <rFont val="細明體"/>
            <family val="3"/>
            <charset val="136"/>
          </rPr>
          <t>例</t>
        </r>
        <r>
          <rPr>
            <sz val="9"/>
            <color indexed="81"/>
            <rFont val="Tahoma"/>
            <family val="2"/>
          </rPr>
          <t xml:space="preserve"> 0938995559</t>
        </r>
      </text>
    </comment>
    <comment ref="C5" authorId="0" shapeId="0" xr:uid="{00000000-0006-0000-0000-000002000000}">
      <text>
        <r>
          <rPr>
            <sz val="9"/>
            <color indexed="81"/>
            <rFont val="細明體"/>
            <family val="3"/>
            <charset val="136"/>
          </rPr>
          <t>民國年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例</t>
        </r>
        <r>
          <rPr>
            <sz val="9"/>
            <color indexed="81"/>
            <rFont val="Tahoma"/>
            <family val="2"/>
          </rPr>
          <t>0810101</t>
        </r>
        <r>
          <rPr>
            <sz val="9"/>
            <color indexed="81"/>
            <rFont val="細明體"/>
            <family val="3"/>
            <charset val="136"/>
          </rPr>
          <t xml:space="preserve">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5" authorId="0" shapeId="0" xr:uid="{00000000-0006-0000-0000-000003000000}">
      <text>
        <r>
          <rPr>
            <sz val="9"/>
            <color indexed="81"/>
            <rFont val="細明體"/>
            <family val="3"/>
            <charset val="136"/>
          </rPr>
          <t>民國年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細明體"/>
            <family val="3"/>
            <charset val="136"/>
          </rPr>
          <t>例</t>
        </r>
        <r>
          <rPr>
            <sz val="9"/>
            <color indexed="81"/>
            <rFont val="Tahoma"/>
            <family val="2"/>
          </rPr>
          <t xml:space="preserve"> 1010516  </t>
        </r>
      </text>
    </comment>
    <comment ref="F5" authorId="0" shapeId="0" xr:uid="{00000000-0006-0000-0000-000004000000}">
      <text>
        <r>
          <rPr>
            <sz val="9"/>
            <color indexed="81"/>
            <rFont val="細明體"/>
            <family val="3"/>
            <charset val="136"/>
          </rPr>
          <t>發證縣市</t>
        </r>
      </text>
    </comment>
    <comment ref="G5" authorId="0" shapeId="0" xr:uid="{00000000-0006-0000-0000-000005000000}">
      <text>
        <r>
          <rPr>
            <sz val="9"/>
            <color indexed="81"/>
            <rFont val="細明體"/>
            <family val="3"/>
            <charset val="136"/>
          </rPr>
          <t>初補換發</t>
        </r>
      </text>
    </comment>
    <comment ref="J5" authorId="0" shapeId="0" xr:uid="{00000000-0006-0000-0000-000006000000}">
      <text>
        <r>
          <rPr>
            <sz val="9"/>
            <color indexed="81"/>
            <rFont val="細明體"/>
            <family val="3"/>
            <charset val="136"/>
          </rPr>
          <t>例</t>
        </r>
        <r>
          <rPr>
            <sz val="9"/>
            <color indexed="81"/>
            <rFont val="Tahoma"/>
            <family val="2"/>
          </rPr>
          <t xml:space="preserve"> 0255571717</t>
        </r>
      </text>
    </comment>
    <comment ref="E6" authorId="0" shapeId="0" xr:uid="{00000000-0006-0000-0000-000007000000}">
      <text>
        <r>
          <rPr>
            <sz val="9"/>
            <color indexed="81"/>
            <rFont val="細明體"/>
            <family val="3"/>
            <charset val="136"/>
          </rPr>
          <t>下拉式選項</t>
        </r>
      </text>
    </comment>
    <comment ref="H13" authorId="0" shapeId="0" xr:uid="{00000000-0006-0000-0000-000008000000}">
      <text>
        <r>
          <rPr>
            <sz val="9"/>
            <color indexed="81"/>
            <rFont val="細明體"/>
            <family val="3"/>
            <charset val="136"/>
          </rPr>
          <t>例</t>
        </r>
        <r>
          <rPr>
            <sz val="9"/>
            <color indexed="81"/>
            <rFont val="Tahoma"/>
            <family val="2"/>
          </rPr>
          <t xml:space="preserve"> 0938995559</t>
        </r>
      </text>
    </comment>
    <comment ref="C14" authorId="1" shapeId="0" xr:uid="{00000000-0006-0000-0000-000009000000}">
      <text>
        <r>
          <rPr>
            <b/>
            <sz val="9"/>
            <color indexed="81"/>
            <rFont val="細明體"/>
            <family val="3"/>
            <charset val="136"/>
          </rPr>
          <t>民國年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細明體"/>
            <family val="3"/>
            <charset val="136"/>
          </rPr>
          <t>例</t>
        </r>
        <r>
          <rPr>
            <b/>
            <sz val="9"/>
            <color indexed="81"/>
            <rFont val="Tahoma"/>
            <family val="2"/>
          </rPr>
          <t>0810101</t>
        </r>
      </text>
    </comment>
    <comment ref="E14" authorId="0" shapeId="0" xr:uid="{00000000-0006-0000-0000-00000A000000}">
      <text>
        <r>
          <rPr>
            <sz val="9"/>
            <color indexed="81"/>
            <rFont val="細明體"/>
            <family val="3"/>
            <charset val="136"/>
          </rPr>
          <t xml:space="preserve">民國年,例 1010516  </t>
        </r>
      </text>
    </comment>
    <comment ref="F14" authorId="0" shapeId="0" xr:uid="{00000000-0006-0000-0000-00000B000000}">
      <text>
        <r>
          <rPr>
            <sz val="9"/>
            <color indexed="81"/>
            <rFont val="細明體"/>
            <family val="3"/>
            <charset val="136"/>
          </rPr>
          <t>發證縣市</t>
        </r>
      </text>
    </comment>
    <comment ref="G14" authorId="0" shapeId="0" xr:uid="{00000000-0006-0000-0000-00000C000000}">
      <text>
        <r>
          <rPr>
            <sz val="9"/>
            <color indexed="81"/>
            <rFont val="細明體"/>
            <family val="3"/>
            <charset val="136"/>
          </rPr>
          <t>初補換發</t>
        </r>
      </text>
    </comment>
    <comment ref="J14" authorId="0" shapeId="0" xr:uid="{00000000-0006-0000-0000-00000D000000}">
      <text>
        <r>
          <rPr>
            <sz val="9"/>
            <color indexed="81"/>
            <rFont val="細明體"/>
            <family val="3"/>
            <charset val="136"/>
          </rPr>
          <t>例</t>
        </r>
        <r>
          <rPr>
            <sz val="9"/>
            <color indexed="81"/>
            <rFont val="Tahoma"/>
            <family val="2"/>
          </rPr>
          <t xml:space="preserve"> 02-55571717</t>
        </r>
      </text>
    </comment>
    <comment ref="C15" authorId="1" shapeId="0" xr:uid="{00000000-0006-0000-0000-00000E000000}">
      <text>
        <r>
          <rPr>
            <b/>
            <sz val="9"/>
            <color indexed="81"/>
            <rFont val="細明體"/>
            <family val="3"/>
            <charset val="136"/>
          </rPr>
          <t>縣市</t>
        </r>
      </text>
    </comment>
  </commentList>
</comments>
</file>

<file path=xl/sharedStrings.xml><?xml version="1.0" encoding="utf-8"?>
<sst xmlns="http://schemas.openxmlformats.org/spreadsheetml/2006/main" count="83" uniqueCount="62">
  <si>
    <t>申請人資料</t>
    <phoneticPr fontId="2" type="noConversion"/>
  </si>
  <si>
    <t>姓名</t>
    <phoneticPr fontId="2" type="noConversion"/>
  </si>
  <si>
    <t>身份證字號</t>
    <phoneticPr fontId="2" type="noConversion"/>
  </si>
  <si>
    <t>行動電話</t>
    <phoneticPr fontId="2" type="noConversion"/>
  </si>
  <si>
    <t>出生日期</t>
    <phoneticPr fontId="2" type="noConversion"/>
  </si>
  <si>
    <t>發證日期</t>
    <phoneticPr fontId="2" type="noConversion"/>
  </si>
  <si>
    <t>現住電話</t>
    <phoneticPr fontId="2" type="noConversion"/>
  </si>
  <si>
    <t>貸款金額</t>
    <phoneticPr fontId="2" type="noConversion"/>
  </si>
  <si>
    <t>分期總期數</t>
    <phoneticPr fontId="2" type="noConversion"/>
  </si>
  <si>
    <t>戶籍地址</t>
    <phoneticPr fontId="2" type="noConversion"/>
  </si>
  <si>
    <t>現住地址</t>
    <phoneticPr fontId="2" type="noConversion"/>
  </si>
  <si>
    <t>公司名稱</t>
    <phoneticPr fontId="2" type="noConversion"/>
  </si>
  <si>
    <t>電話</t>
    <phoneticPr fontId="2" type="noConversion"/>
  </si>
  <si>
    <t>分機</t>
    <phoneticPr fontId="2" type="noConversion"/>
  </si>
  <si>
    <t>職稱</t>
    <phoneticPr fontId="2" type="noConversion"/>
  </si>
  <si>
    <t>月薪</t>
    <phoneticPr fontId="2" type="noConversion"/>
  </si>
  <si>
    <t>年資</t>
    <phoneticPr fontId="2" type="noConversion"/>
  </si>
  <si>
    <t>年</t>
    <phoneticPr fontId="2" type="noConversion"/>
  </si>
  <si>
    <t>月</t>
    <phoneticPr fontId="2" type="noConversion"/>
  </si>
  <si>
    <t>保證人資料</t>
    <phoneticPr fontId="2" type="noConversion"/>
  </si>
  <si>
    <t>關係</t>
    <phoneticPr fontId="2" type="noConversion"/>
  </si>
  <si>
    <t>聯絡人資料(基本要填寫1二等親+1友)</t>
    <phoneticPr fontId="2" type="noConversion"/>
  </si>
  <si>
    <t>關係</t>
  </si>
  <si>
    <t>必填欄位</t>
    <phoneticPr fontId="2" type="noConversion"/>
  </si>
  <si>
    <t>色塊說明：</t>
    <phoneticPr fontId="2" type="noConversion"/>
  </si>
  <si>
    <t>屏縣</t>
  </si>
  <si>
    <t>期付金</t>
    <phoneticPr fontId="2" type="noConversion"/>
  </si>
  <si>
    <t>專案別</t>
    <phoneticPr fontId="2" type="noConversion"/>
  </si>
  <si>
    <t>期付款</t>
  </si>
  <si>
    <t>100000_24</t>
    <phoneticPr fontId="2" type="noConversion"/>
  </si>
  <si>
    <t>130000_24</t>
    <phoneticPr fontId="2" type="noConversion"/>
  </si>
  <si>
    <t>110000_18</t>
    <phoneticPr fontId="2" type="noConversion"/>
  </si>
  <si>
    <t>140000_12</t>
    <phoneticPr fontId="2" type="noConversion"/>
  </si>
  <si>
    <t>每萬元期付</t>
    <phoneticPr fontId="2" type="noConversion"/>
  </si>
  <si>
    <t>調整期付款</t>
    <phoneticPr fontId="2" type="noConversion"/>
  </si>
  <si>
    <t>型號</t>
    <phoneticPr fontId="2" type="noConversion"/>
  </si>
  <si>
    <t>商品名稱</t>
    <phoneticPr fontId="2" type="noConversion"/>
  </si>
  <si>
    <t>本案期付款</t>
    <phoneticPr fontId="2" type="noConversion"/>
  </si>
  <si>
    <t>鼎信行銷</t>
    <phoneticPr fontId="2" type="noConversion"/>
  </si>
  <si>
    <t>公司地址</t>
    <phoneticPr fontId="2" type="noConversion"/>
  </si>
  <si>
    <t>鼎信貸救補-申請書</t>
    <phoneticPr fontId="2" type="noConversion"/>
  </si>
  <si>
    <t>24</t>
  </si>
  <si>
    <t>曾秋華</t>
    <phoneticPr fontId="2" type="noConversion"/>
  </si>
  <si>
    <t>0741029</t>
    <phoneticPr fontId="2" type="noConversion"/>
  </si>
  <si>
    <t>1080408</t>
    <phoneticPr fontId="2" type="noConversion"/>
  </si>
  <si>
    <t>彰縣</t>
    <phoneticPr fontId="2" type="noConversion"/>
  </si>
  <si>
    <t>換發</t>
    <phoneticPr fontId="2" type="noConversion"/>
  </si>
  <si>
    <t>vivo V60</t>
    <phoneticPr fontId="2" type="noConversion"/>
  </si>
  <si>
    <t>vivo</t>
    <phoneticPr fontId="2" type="noConversion"/>
  </si>
  <si>
    <t>彰化縣員林市溝皂街291號</t>
    <phoneticPr fontId="2" type="noConversion"/>
  </si>
  <si>
    <t>L223719059</t>
    <phoneticPr fontId="2" type="noConversion"/>
  </si>
  <si>
    <t>0910536102</t>
    <phoneticPr fontId="2" type="noConversion"/>
  </si>
  <si>
    <t>彰化縣員林市合作街37號3樓</t>
    <phoneticPr fontId="2" type="noConversion"/>
  </si>
  <si>
    <t>佑帷有限公司</t>
    <phoneticPr fontId="2" type="noConversion"/>
  </si>
  <si>
    <t>048366414</t>
    <phoneticPr fontId="2" type="noConversion"/>
  </si>
  <si>
    <t>張雲翔</t>
    <phoneticPr fontId="2" type="noConversion"/>
  </si>
  <si>
    <t>張玉青</t>
    <phoneticPr fontId="2" type="noConversion"/>
  </si>
  <si>
    <t>0910706827</t>
    <phoneticPr fontId="2" type="noConversion"/>
  </si>
  <si>
    <t>0900758586</t>
    <phoneticPr fontId="2" type="noConversion"/>
  </si>
  <si>
    <t>配偶</t>
    <phoneticPr fontId="2" type="noConversion"/>
  </si>
  <si>
    <t>朋友</t>
    <phoneticPr fontId="2" type="noConversion"/>
  </si>
  <si>
    <t>業務助理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</si>
</sst>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#,##0_ "/>
    <numFmt numFmtId="177" formatCode="#,##0_);[Red]\(#,##0\)"/>
    <numFmt numFmtId="178" formatCode="#,##0.00_ ;[Red]\-#,##0.00\ "/>
  </numFmts>
  <fonts count="15" x14ac:knownFonts="1">
    <font>
      <sz val="12"/>
      <color theme="1"/>
      <name val="新細明體"/>
      <family val="2"/>
      <charset val="136"/>
      <scheme val="minor"/>
    </font>
    <font>
      <b/>
      <sz val="16"/>
      <color theme="1"/>
      <name val="微軟正黑體"/>
      <family val="2"/>
      <charset val="136"/>
    </font>
    <font>
      <sz val="9"/>
      <name val="新細明體"/>
      <family val="2"/>
      <charset val="136"/>
      <scheme val="minor"/>
    </font>
    <font>
      <sz val="12"/>
      <color theme="1"/>
      <name val="微軟正黑體"/>
      <family val="2"/>
      <charset val="136"/>
    </font>
    <font>
      <u/>
      <sz val="12"/>
      <color theme="10"/>
      <name val="新細明體"/>
      <family val="2"/>
      <charset val="136"/>
      <scheme val="minor"/>
    </font>
    <font>
      <sz val="9"/>
      <color indexed="81"/>
      <name val="細明體"/>
      <family val="3"/>
      <charset val="136"/>
    </font>
    <font>
      <sz val="9"/>
      <color indexed="81"/>
      <name val="Tahoma"/>
      <family val="2"/>
    </font>
    <font>
      <b/>
      <sz val="9"/>
      <color indexed="81"/>
      <name val="細明體"/>
      <family val="3"/>
      <charset val="136"/>
    </font>
    <font>
      <b/>
      <sz val="9"/>
      <color indexed="81"/>
      <name val="Tahoma"/>
      <family val="2"/>
    </font>
    <font>
      <b/>
      <sz val="14"/>
      <name val="微軟正黑體"/>
      <family val="2"/>
      <charset val="136"/>
    </font>
    <font>
      <b/>
      <sz val="14"/>
      <color theme="1"/>
      <name val="微軟正黑體"/>
      <family val="2"/>
      <charset val="136"/>
    </font>
    <font>
      <b/>
      <sz val="12"/>
      <color theme="1"/>
      <name val="新細明體"/>
      <family val="2"/>
      <charset val="136"/>
      <scheme val="minor"/>
    </font>
    <font>
      <b/>
      <sz val="12"/>
      <color theme="1"/>
      <name val="微軟正黑體"/>
      <family val="2"/>
      <charset val="136"/>
    </font>
    <font>
      <b/>
      <u/>
      <sz val="12"/>
      <color theme="10"/>
      <name val="新細明體"/>
      <family val="2"/>
      <charset val="136"/>
      <scheme val="minor"/>
    </font>
    <font>
      <b/>
      <sz val="14"/>
      <color theme="5" tint="-0.499984740745262"/>
      <name val="微軟正黑體"/>
      <family val="2"/>
      <charset val="136"/>
    </font>
  </fonts>
  <fills count="9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EFFFEF"/>
        <bgColor indexed="64"/>
      </patternFill>
    </fill>
    <fill>
      <patternFill patternType="solid">
        <fgColor rgb="FFF2F8EE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</fills>
  <borders count="26">
    <border>
      <left/>
      <right/>
      <top/>
      <bottom/>
      <diagonal/>
    </border>
    <border>
      <left style="double">
        <color auto="1"/>
      </left>
      <right/>
      <top style="double">
        <color auto="1"/>
      </top>
      <bottom style="double">
        <color auto="1"/>
      </bottom>
      <diagonal/>
    </border>
    <border>
      <left/>
      <right/>
      <top style="double">
        <color auto="1"/>
      </top>
      <bottom style="double">
        <color auto="1"/>
      </bottom>
      <diagonal/>
    </border>
    <border>
      <left/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double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/>
      <top style="thin">
        <color auto="1"/>
      </top>
      <bottom style="double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/>
      <top style="double">
        <color auto="1"/>
      </top>
      <bottom style="double">
        <color auto="1"/>
      </bottom>
      <diagonal/>
    </border>
    <border>
      <left/>
      <right style="thin">
        <color auto="1"/>
      </right>
      <top style="double">
        <color auto="1"/>
      </top>
      <bottom style="double">
        <color auto="1"/>
      </bottom>
      <diagonal/>
    </border>
  </borders>
  <cellStyleXfs count="2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89">
    <xf numFmtId="0" fontId="0" fillId="0" borderId="0" xfId="0">
      <alignment vertical="center"/>
    </xf>
    <xf numFmtId="49" fontId="3" fillId="2" borderId="4" xfId="0" applyNumberFormat="1" applyFont="1" applyFill="1" applyBorder="1">
      <alignment vertical="center"/>
    </xf>
    <xf numFmtId="49" fontId="3" fillId="2" borderId="5" xfId="0" applyNumberFormat="1" applyFont="1" applyFill="1" applyBorder="1">
      <alignment vertical="center"/>
    </xf>
    <xf numFmtId="49" fontId="3" fillId="2" borderId="10" xfId="0" applyNumberFormat="1" applyFont="1" applyFill="1" applyBorder="1">
      <alignment vertical="center"/>
    </xf>
    <xf numFmtId="49" fontId="3" fillId="2" borderId="11" xfId="0" applyNumberFormat="1" applyFont="1" applyFill="1" applyBorder="1">
      <alignment vertical="center"/>
    </xf>
    <xf numFmtId="49" fontId="0" fillId="2" borderId="11" xfId="0" applyNumberFormat="1" applyFill="1" applyBorder="1">
      <alignment vertical="center"/>
    </xf>
    <xf numFmtId="49" fontId="3" fillId="2" borderId="17" xfId="0" applyNumberFormat="1" applyFont="1" applyFill="1" applyBorder="1">
      <alignment vertical="center"/>
    </xf>
    <xf numFmtId="49" fontId="3" fillId="2" borderId="18" xfId="0" applyNumberFormat="1" applyFont="1" applyFill="1" applyBorder="1">
      <alignment vertical="center"/>
    </xf>
    <xf numFmtId="49" fontId="3" fillId="6" borderId="20" xfId="0" applyNumberFormat="1" applyFont="1" applyFill="1" applyBorder="1">
      <alignment vertical="center"/>
    </xf>
    <xf numFmtId="49" fontId="3" fillId="4" borderId="4" xfId="0" applyNumberFormat="1" applyFont="1" applyFill="1" applyBorder="1">
      <alignment vertical="center"/>
    </xf>
    <xf numFmtId="49" fontId="3" fillId="5" borderId="5" xfId="0" applyNumberFormat="1" applyFont="1" applyFill="1" applyBorder="1">
      <alignment vertical="center"/>
    </xf>
    <xf numFmtId="49" fontId="3" fillId="5" borderId="11" xfId="0" applyNumberFormat="1" applyFont="1" applyFill="1" applyBorder="1">
      <alignment vertical="center"/>
    </xf>
    <xf numFmtId="49" fontId="3" fillId="4" borderId="10" xfId="0" applyNumberFormat="1" applyFont="1" applyFill="1" applyBorder="1">
      <alignment vertical="center"/>
    </xf>
    <xf numFmtId="49" fontId="3" fillId="3" borderId="11" xfId="0" applyNumberFormat="1" applyFont="1" applyFill="1" applyBorder="1">
      <alignment vertical="center"/>
    </xf>
    <xf numFmtId="49" fontId="3" fillId="8" borderId="22" xfId="0" applyNumberFormat="1" applyFont="1" applyFill="1" applyBorder="1">
      <alignment vertical="center"/>
    </xf>
    <xf numFmtId="49" fontId="3" fillId="8" borderId="23" xfId="0" applyNumberFormat="1" applyFont="1" applyFill="1" applyBorder="1">
      <alignment vertical="center"/>
    </xf>
    <xf numFmtId="49" fontId="3" fillId="7" borderId="0" xfId="0" applyNumberFormat="1" applyFont="1" applyFill="1">
      <alignment vertical="center"/>
    </xf>
    <xf numFmtId="0" fontId="0" fillId="6" borderId="0" xfId="0" applyFill="1">
      <alignment vertical="center"/>
    </xf>
    <xf numFmtId="49" fontId="12" fillId="6" borderId="5" xfId="0" applyNumberFormat="1" applyFont="1" applyFill="1" applyBorder="1" applyProtection="1">
      <alignment vertical="center"/>
      <protection locked="0"/>
    </xf>
    <xf numFmtId="49" fontId="12" fillId="6" borderId="11" xfId="0" applyNumberFormat="1" applyFont="1" applyFill="1" applyBorder="1" applyProtection="1">
      <alignment vertical="center"/>
      <protection locked="0"/>
    </xf>
    <xf numFmtId="176" fontId="12" fillId="6" borderId="11" xfId="0" applyNumberFormat="1" applyFont="1" applyFill="1" applyBorder="1" applyProtection="1">
      <alignment vertical="center"/>
      <protection locked="0"/>
    </xf>
    <xf numFmtId="176" fontId="12" fillId="6" borderId="20" xfId="0" applyNumberFormat="1" applyFont="1" applyFill="1" applyBorder="1" applyProtection="1">
      <alignment vertical="center"/>
      <protection locked="0"/>
    </xf>
    <xf numFmtId="176" fontId="12" fillId="6" borderId="19" xfId="0" applyNumberFormat="1" applyFont="1" applyFill="1" applyBorder="1" applyProtection="1">
      <alignment vertical="center"/>
      <protection locked="0"/>
    </xf>
    <xf numFmtId="176" fontId="12" fillId="6" borderId="18" xfId="0" applyNumberFormat="1" applyFont="1" applyFill="1" applyBorder="1" applyProtection="1">
      <alignment vertical="center"/>
      <protection locked="0"/>
    </xf>
    <xf numFmtId="49" fontId="12" fillId="6" borderId="18" xfId="0" applyNumberFormat="1" applyFont="1" applyFill="1" applyBorder="1" applyProtection="1">
      <alignment vertical="center"/>
      <protection locked="0"/>
    </xf>
    <xf numFmtId="49" fontId="12" fillId="0" borderId="5" xfId="0" applyNumberFormat="1" applyFont="1" applyBorder="1" applyProtection="1">
      <alignment vertical="center"/>
      <protection locked="0"/>
    </xf>
    <xf numFmtId="49" fontId="11" fillId="0" borderId="12" xfId="0" applyNumberFormat="1" applyFont="1" applyBorder="1" applyProtection="1">
      <alignment vertical="center"/>
      <protection locked="0"/>
    </xf>
    <xf numFmtId="49" fontId="12" fillId="0" borderId="11" xfId="0" applyNumberFormat="1" applyFont="1" applyBorder="1" applyProtection="1">
      <alignment vertical="center"/>
      <protection locked="0"/>
    </xf>
    <xf numFmtId="49" fontId="12" fillId="7" borderId="23" xfId="0" applyNumberFormat="1" applyFont="1" applyFill="1" applyBorder="1" applyProtection="1">
      <alignment vertical="center"/>
      <protection locked="0"/>
    </xf>
    <xf numFmtId="49" fontId="12" fillId="6" borderId="23" xfId="0" applyNumberFormat="1" applyFont="1" applyFill="1" applyBorder="1" applyProtection="1">
      <alignment vertical="center"/>
      <protection locked="0"/>
    </xf>
    <xf numFmtId="178" fontId="0" fillId="0" borderId="0" xfId="0" applyNumberFormat="1">
      <alignment vertical="center"/>
    </xf>
    <xf numFmtId="177" fontId="12" fillId="2" borderId="11" xfId="0" applyNumberFormat="1" applyFont="1" applyFill="1" applyBorder="1">
      <alignment vertical="center"/>
    </xf>
    <xf numFmtId="49" fontId="14" fillId="0" borderId="0" xfId="0" applyNumberFormat="1" applyFont="1" applyAlignment="1" applyProtection="1">
      <alignment horizontal="center" vertical="center"/>
      <protection locked="0"/>
    </xf>
    <xf numFmtId="0" fontId="14" fillId="0" borderId="0" xfId="0" applyFont="1" applyAlignment="1" applyProtection="1">
      <alignment horizontal="center" vertical="center"/>
      <protection locked="0"/>
    </xf>
    <xf numFmtId="49" fontId="12" fillId="6" borderId="13" xfId="0" applyNumberFormat="1" applyFont="1" applyFill="1" applyBorder="1" applyAlignment="1" applyProtection="1">
      <alignment horizontal="left" vertical="center"/>
      <protection locked="0"/>
    </xf>
    <xf numFmtId="49" fontId="12" fillId="6" borderId="14" xfId="0" applyNumberFormat="1" applyFont="1" applyFill="1" applyBorder="1" applyAlignment="1" applyProtection="1">
      <alignment horizontal="left" vertical="center"/>
      <protection locked="0"/>
    </xf>
    <xf numFmtId="49" fontId="3" fillId="2" borderId="11" xfId="0" applyNumberFormat="1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49" fontId="12" fillId="6" borderId="15" xfId="0" applyNumberFormat="1" applyFont="1" applyFill="1" applyBorder="1" applyAlignment="1" applyProtection="1">
      <alignment horizontal="left" vertical="center"/>
      <protection locked="0"/>
    </xf>
    <xf numFmtId="49" fontId="12" fillId="6" borderId="11" xfId="0" applyNumberFormat="1" applyFont="1" applyFill="1" applyBorder="1" applyProtection="1">
      <alignment vertical="center"/>
      <protection locked="0"/>
    </xf>
    <xf numFmtId="0" fontId="12" fillId="6" borderId="12" xfId="0" applyFont="1" applyFill="1" applyBorder="1" applyProtection="1">
      <alignment vertical="center"/>
      <protection locked="0"/>
    </xf>
    <xf numFmtId="49" fontId="1" fillId="0" borderId="0" xfId="0" applyNumberFormat="1" applyFont="1" applyAlignment="1" applyProtection="1">
      <alignment horizontal="center" vertical="center"/>
      <protection locked="0"/>
    </xf>
    <xf numFmtId="0" fontId="1" fillId="0" borderId="0" xfId="0" applyFont="1" applyAlignment="1" applyProtection="1">
      <alignment horizontal="center" vertical="center"/>
      <protection locked="0"/>
    </xf>
    <xf numFmtId="49" fontId="9" fillId="2" borderId="1" xfId="0" applyNumberFormat="1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0" fontId="9" fillId="2" borderId="3" xfId="0" applyFont="1" applyFill="1" applyBorder="1" applyAlignment="1">
      <alignment horizontal="center" vertical="center"/>
    </xf>
    <xf numFmtId="49" fontId="12" fillId="6" borderId="6" xfId="0" applyNumberFormat="1" applyFont="1" applyFill="1" applyBorder="1" applyProtection="1">
      <alignment vertical="center"/>
      <protection locked="0"/>
    </xf>
    <xf numFmtId="49" fontId="12" fillId="6" borderId="7" xfId="0" applyNumberFormat="1" applyFont="1" applyFill="1" applyBorder="1" applyProtection="1">
      <alignment vertical="center"/>
      <protection locked="0"/>
    </xf>
    <xf numFmtId="49" fontId="12" fillId="6" borderId="8" xfId="0" applyNumberFormat="1" applyFont="1" applyFill="1" applyBorder="1" applyProtection="1">
      <alignment vertical="center"/>
      <protection locked="0"/>
    </xf>
    <xf numFmtId="49" fontId="3" fillId="2" borderId="5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49" fontId="12" fillId="6" borderId="5" xfId="0" applyNumberFormat="1" applyFont="1" applyFill="1" applyBorder="1" applyProtection="1">
      <alignment vertical="center"/>
      <protection locked="0"/>
    </xf>
    <xf numFmtId="0" fontId="12" fillId="6" borderId="9" xfId="0" applyFont="1" applyFill="1" applyBorder="1" applyProtection="1">
      <alignment vertical="center"/>
      <protection locked="0"/>
    </xf>
    <xf numFmtId="49" fontId="12" fillId="0" borderId="13" xfId="0" applyNumberFormat="1" applyFont="1" applyBorder="1" applyAlignment="1" applyProtection="1">
      <alignment horizontal="left" vertical="center"/>
      <protection locked="0"/>
    </xf>
    <xf numFmtId="49" fontId="12" fillId="0" borderId="14" xfId="0" applyNumberFormat="1" applyFont="1" applyBorder="1" applyAlignment="1" applyProtection="1">
      <alignment horizontal="left" vertical="center"/>
      <protection locked="0"/>
    </xf>
    <xf numFmtId="49" fontId="12" fillId="0" borderId="15" xfId="0" applyNumberFormat="1" applyFont="1" applyBorder="1" applyAlignment="1" applyProtection="1">
      <alignment horizontal="left" vertical="center"/>
      <protection locked="0"/>
    </xf>
    <xf numFmtId="49" fontId="3" fillId="8" borderId="24" xfId="0" applyNumberFormat="1" applyFont="1" applyFill="1" applyBorder="1" applyAlignment="1">
      <alignment horizontal="center" vertical="center"/>
    </xf>
    <xf numFmtId="49" fontId="3" fillId="8" borderId="25" xfId="0" applyNumberFormat="1" applyFont="1" applyFill="1" applyBorder="1" applyAlignment="1">
      <alignment horizontal="center" vertical="center"/>
    </xf>
    <xf numFmtId="49" fontId="10" fillId="8" borderId="1" xfId="0" applyNumberFormat="1" applyFont="1" applyFill="1" applyBorder="1" applyAlignment="1">
      <alignment horizontal="center" vertical="center"/>
    </xf>
    <xf numFmtId="49" fontId="10" fillId="8" borderId="2" xfId="0" applyNumberFormat="1" applyFont="1" applyFill="1" applyBorder="1" applyAlignment="1">
      <alignment horizontal="center" vertical="center"/>
    </xf>
    <xf numFmtId="49" fontId="10" fillId="8" borderId="3" xfId="0" applyNumberFormat="1" applyFont="1" applyFill="1" applyBorder="1" applyAlignment="1">
      <alignment horizontal="center" vertical="center"/>
    </xf>
    <xf numFmtId="49" fontId="12" fillId="6" borderId="24" xfId="0" applyNumberFormat="1" applyFont="1" applyFill="1" applyBorder="1" applyAlignment="1" applyProtection="1">
      <alignment horizontal="center" vertical="center"/>
      <protection locked="0"/>
    </xf>
    <xf numFmtId="49" fontId="12" fillId="6" borderId="2" xfId="0" applyNumberFormat="1" applyFont="1" applyFill="1" applyBorder="1" applyAlignment="1" applyProtection="1">
      <alignment horizontal="center" vertical="center"/>
      <protection locked="0"/>
    </xf>
    <xf numFmtId="49" fontId="12" fillId="6" borderId="3" xfId="0" applyNumberFormat="1" applyFont="1" applyFill="1" applyBorder="1" applyAlignment="1" applyProtection="1">
      <alignment horizontal="center" vertical="center"/>
      <protection locked="0"/>
    </xf>
    <xf numFmtId="49" fontId="12" fillId="7" borderId="24" xfId="0" applyNumberFormat="1" applyFont="1" applyFill="1" applyBorder="1" applyAlignment="1" applyProtection="1">
      <alignment horizontal="center" vertical="center"/>
      <protection locked="0"/>
    </xf>
    <xf numFmtId="49" fontId="12" fillId="7" borderId="2" xfId="0" applyNumberFormat="1" applyFont="1" applyFill="1" applyBorder="1" applyAlignment="1" applyProtection="1">
      <alignment horizontal="center" vertical="center"/>
      <protection locked="0"/>
    </xf>
    <xf numFmtId="49" fontId="12" fillId="7" borderId="3" xfId="0" applyNumberFormat="1" applyFont="1" applyFill="1" applyBorder="1" applyAlignment="1" applyProtection="1">
      <alignment horizontal="center" vertical="center"/>
      <protection locked="0"/>
    </xf>
    <xf numFmtId="49" fontId="12" fillId="0" borderId="11" xfId="0" applyNumberFormat="1" applyFont="1" applyBorder="1" applyProtection="1">
      <alignment vertical="center"/>
      <protection locked="0"/>
    </xf>
    <xf numFmtId="0" fontId="12" fillId="0" borderId="11" xfId="0" applyFont="1" applyBorder="1" applyProtection="1">
      <alignment vertical="center"/>
      <protection locked="0"/>
    </xf>
    <xf numFmtId="49" fontId="12" fillId="0" borderId="13" xfId="0" applyNumberFormat="1" applyFont="1" applyBorder="1" applyProtection="1">
      <alignment vertical="center"/>
      <protection locked="0"/>
    </xf>
    <xf numFmtId="0" fontId="11" fillId="0" borderId="15" xfId="0" applyFont="1" applyBorder="1" applyProtection="1">
      <alignment vertical="center"/>
      <protection locked="0"/>
    </xf>
    <xf numFmtId="0" fontId="12" fillId="0" borderId="12" xfId="0" applyFont="1" applyBorder="1" applyProtection="1">
      <alignment vertical="center"/>
      <protection locked="0"/>
    </xf>
    <xf numFmtId="49" fontId="12" fillId="2" borderId="13" xfId="0" applyNumberFormat="1" applyFont="1" applyFill="1" applyBorder="1" applyAlignment="1">
      <alignment horizontal="left" vertical="center"/>
    </xf>
    <xf numFmtId="49" fontId="12" fillId="2" borderId="15" xfId="0" applyNumberFormat="1" applyFont="1" applyFill="1" applyBorder="1" applyAlignment="1">
      <alignment horizontal="left" vertical="center"/>
    </xf>
    <xf numFmtId="0" fontId="12" fillId="6" borderId="11" xfId="0" applyFont="1" applyFill="1" applyBorder="1" applyProtection="1">
      <alignment vertical="center"/>
      <protection locked="0"/>
    </xf>
    <xf numFmtId="49" fontId="13" fillId="0" borderId="13" xfId="1" applyNumberFormat="1" applyFont="1" applyBorder="1" applyAlignment="1" applyProtection="1">
      <alignment vertical="center"/>
      <protection locked="0"/>
    </xf>
    <xf numFmtId="49" fontId="13" fillId="0" borderId="14" xfId="1" applyNumberFormat="1" applyFont="1" applyBorder="1" applyAlignment="1" applyProtection="1">
      <alignment vertical="center"/>
      <protection locked="0"/>
    </xf>
    <xf numFmtId="49" fontId="13" fillId="0" borderId="15" xfId="1" applyNumberFormat="1" applyFont="1" applyBorder="1" applyAlignment="1" applyProtection="1">
      <alignment vertical="center"/>
      <protection locked="0"/>
    </xf>
    <xf numFmtId="49" fontId="10" fillId="3" borderId="1" xfId="0" applyNumberFormat="1" applyFont="1" applyFill="1" applyBorder="1" applyAlignment="1">
      <alignment horizontal="center" vertical="center"/>
    </xf>
    <xf numFmtId="0" fontId="10" fillId="3" borderId="2" xfId="0" applyFont="1" applyFill="1" applyBorder="1" applyAlignment="1">
      <alignment horizontal="center" vertical="center"/>
    </xf>
    <xf numFmtId="0" fontId="10" fillId="3" borderId="3" xfId="0" applyFont="1" applyFill="1" applyBorder="1" applyAlignment="1">
      <alignment horizontal="center" vertical="center"/>
    </xf>
    <xf numFmtId="49" fontId="3" fillId="5" borderId="6" xfId="0" applyNumberFormat="1" applyFont="1" applyFill="1" applyBorder="1" applyAlignment="1">
      <alignment horizontal="center" vertical="center"/>
    </xf>
    <xf numFmtId="49" fontId="3" fillId="5" borderId="8" xfId="0" applyNumberFormat="1" applyFont="1" applyFill="1" applyBorder="1" applyAlignment="1">
      <alignment horizontal="center" vertical="center"/>
    </xf>
    <xf numFmtId="49" fontId="12" fillId="0" borderId="5" xfId="0" applyNumberFormat="1" applyFont="1" applyBorder="1" applyProtection="1">
      <alignment vertical="center"/>
      <protection locked="0"/>
    </xf>
    <xf numFmtId="0" fontId="12" fillId="0" borderId="9" xfId="0" applyFont="1" applyBorder="1" applyProtection="1">
      <alignment vertical="center"/>
      <protection locked="0"/>
    </xf>
    <xf numFmtId="49" fontId="3" fillId="5" borderId="13" xfId="0" applyNumberFormat="1" applyFont="1" applyFill="1" applyBorder="1" applyAlignment="1">
      <alignment horizontal="center" vertical="center"/>
    </xf>
    <xf numFmtId="49" fontId="3" fillId="5" borderId="16" xfId="0" applyNumberFormat="1" applyFont="1" applyFill="1" applyBorder="1" applyAlignment="1">
      <alignment horizontal="center" vertical="center"/>
    </xf>
    <xf numFmtId="49" fontId="3" fillId="6" borderId="20" xfId="0" applyNumberFormat="1" applyFont="1" applyFill="1" applyBorder="1">
      <alignment vertical="center"/>
    </xf>
    <xf numFmtId="49" fontId="3" fillId="6" borderId="21" xfId="0" applyNumberFormat="1" applyFont="1" applyFill="1" applyBorder="1">
      <alignment vertical="center"/>
    </xf>
  </cellXfs>
  <cellStyles count="2">
    <cellStyle name="一般" xfId="0" builtinId="0"/>
    <cellStyle name="超連結" xfId="1" builtinId="8"/>
  </cellStyles>
  <dxfs count="2">
    <dxf>
      <fill>
        <patternFill>
          <bgColor rgb="FFFFE5E5"/>
        </patternFill>
      </fill>
    </dxf>
    <dxf>
      <fill>
        <patternFill>
          <bgColor rgb="FFFFE5E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Q22"/>
  <sheetViews>
    <sheetView showGridLines="0" tabSelected="1" workbookViewId="0">
      <selection activeCell="J5" sqref="J5:K5"/>
    </sheetView>
  </sheetViews>
  <sheetFormatPr defaultRowHeight="16.5" x14ac:dyDescent="0.25"/>
  <cols>
    <col min="1" max="1" width="4.625" customWidth="1"/>
    <col min="2" max="2" width="11.625" customWidth="1"/>
    <col min="3" max="3" width="13.5" customWidth="1"/>
    <col min="4" max="4" width="11.625" customWidth="1"/>
    <col min="5" max="5" width="14.5" customWidth="1"/>
    <col min="6" max="6" width="9.5" customWidth="1"/>
    <col min="7" max="7" width="12" customWidth="1"/>
    <col min="8" max="8" width="8.5" customWidth="1"/>
    <col min="9" max="9" width="6.625" customWidth="1"/>
    <col min="13" max="13" width="12.5" hidden="1" customWidth="1"/>
    <col min="14" max="15" width="9" hidden="1" customWidth="1"/>
    <col min="16" max="16" width="10" hidden="1" customWidth="1"/>
    <col min="17" max="17" width="10.875" hidden="1" customWidth="1"/>
  </cols>
  <sheetData>
    <row r="1" spans="2:17" ht="21.2" customHeight="1" x14ac:dyDescent="0.25">
      <c r="B1" s="32"/>
      <c r="C1" s="33"/>
      <c r="D1" s="33"/>
      <c r="E1" s="33"/>
      <c r="F1" s="33"/>
      <c r="G1" s="33"/>
      <c r="H1" s="33"/>
      <c r="I1" s="33"/>
      <c r="J1" s="33"/>
      <c r="K1" s="33"/>
    </row>
    <row r="2" spans="2:17" ht="27.75" customHeight="1" thickBot="1" x14ac:dyDescent="0.3">
      <c r="B2" s="41" t="s">
        <v>40</v>
      </c>
      <c r="C2" s="42"/>
      <c r="D2" s="42"/>
      <c r="E2" s="42"/>
      <c r="F2" s="42"/>
      <c r="G2" s="42"/>
      <c r="H2" s="42"/>
      <c r="I2" s="42"/>
      <c r="J2" s="42"/>
      <c r="K2" s="42"/>
    </row>
    <row r="3" spans="2:17" ht="27.75" customHeight="1" thickTop="1" thickBot="1" x14ac:dyDescent="0.3">
      <c r="B3" s="43" t="s">
        <v>0</v>
      </c>
      <c r="C3" s="44"/>
      <c r="D3" s="44"/>
      <c r="E3" s="44"/>
      <c r="F3" s="44"/>
      <c r="G3" s="44"/>
      <c r="H3" s="44"/>
      <c r="I3" s="44"/>
      <c r="J3" s="44"/>
      <c r="K3" s="45"/>
    </row>
    <row r="4" spans="2:17" ht="22.7" customHeight="1" thickTop="1" x14ac:dyDescent="0.25">
      <c r="B4" s="1" t="s">
        <v>1</v>
      </c>
      <c r="C4" s="18" t="s">
        <v>42</v>
      </c>
      <c r="D4" s="2" t="s">
        <v>2</v>
      </c>
      <c r="E4" s="46" t="s">
        <v>50</v>
      </c>
      <c r="F4" s="47"/>
      <c r="G4" s="48"/>
      <c r="H4" s="49" t="s">
        <v>3</v>
      </c>
      <c r="I4" s="50"/>
      <c r="J4" s="51" t="s">
        <v>51</v>
      </c>
      <c r="K4" s="52"/>
      <c r="M4" t="s">
        <v>33</v>
      </c>
      <c r="N4" s="30">
        <f>PMT(0.27/12,$E$6,-10000)</f>
        <v>543.80228906278035</v>
      </c>
      <c r="P4" t="s">
        <v>7</v>
      </c>
      <c r="Q4" t="s">
        <v>34</v>
      </c>
    </row>
    <row r="5" spans="2:17" ht="22.7" customHeight="1" x14ac:dyDescent="0.25">
      <c r="B5" s="3" t="s">
        <v>4</v>
      </c>
      <c r="C5" s="19" t="s">
        <v>43</v>
      </c>
      <c r="D5" s="4" t="s">
        <v>5</v>
      </c>
      <c r="E5" s="19" t="s">
        <v>44</v>
      </c>
      <c r="F5" s="19" t="s">
        <v>45</v>
      </c>
      <c r="G5" s="19" t="s">
        <v>46</v>
      </c>
      <c r="H5" s="36" t="s">
        <v>6</v>
      </c>
      <c r="I5" s="37"/>
      <c r="J5" s="39"/>
      <c r="K5" s="40"/>
      <c r="M5" t="s">
        <v>28</v>
      </c>
      <c r="N5">
        <f>ROUND(($C$6/10000)*$N$4,0)</f>
        <v>5438</v>
      </c>
      <c r="P5" t="s">
        <v>29</v>
      </c>
      <c r="Q5">
        <v>5439</v>
      </c>
    </row>
    <row r="6" spans="2:17" ht="22.7" customHeight="1" x14ac:dyDescent="0.25">
      <c r="B6" s="3" t="s">
        <v>7</v>
      </c>
      <c r="C6" s="20">
        <v>100000</v>
      </c>
      <c r="D6" s="5" t="s">
        <v>8</v>
      </c>
      <c r="E6" s="19" t="s">
        <v>41</v>
      </c>
      <c r="F6" s="4" t="s">
        <v>26</v>
      </c>
      <c r="G6" s="31">
        <f>IF(ISNUMBER($N$8),$N$8,"")</f>
        <v>5439</v>
      </c>
      <c r="H6" s="36" t="s">
        <v>27</v>
      </c>
      <c r="I6" s="37"/>
      <c r="J6" s="72" t="s">
        <v>38</v>
      </c>
      <c r="K6" s="73"/>
      <c r="M6" t="s">
        <v>34</v>
      </c>
      <c r="N6">
        <f>VLOOKUP(TEXT($C$6,"#") &amp; "_" &amp; TEXT($E$6,"#"),$P$4:$Q$8,2,FALSE)</f>
        <v>5439</v>
      </c>
      <c r="P6" t="s">
        <v>30</v>
      </c>
      <c r="Q6">
        <v>7070</v>
      </c>
    </row>
    <row r="7" spans="2:17" ht="22.7" customHeight="1" x14ac:dyDescent="0.25">
      <c r="B7" s="3" t="s">
        <v>9</v>
      </c>
      <c r="C7" s="34" t="s">
        <v>49</v>
      </c>
      <c r="D7" s="35"/>
      <c r="E7" s="35"/>
      <c r="F7" s="35"/>
      <c r="G7" s="35"/>
      <c r="H7" s="36" t="s">
        <v>36</v>
      </c>
      <c r="I7" s="37"/>
      <c r="J7" s="34" t="s">
        <v>48</v>
      </c>
      <c r="K7" s="38"/>
      <c r="P7" t="s">
        <v>31</v>
      </c>
      <c r="Q7">
        <v>7500</v>
      </c>
    </row>
    <row r="8" spans="2:17" ht="22.7" customHeight="1" x14ac:dyDescent="0.25">
      <c r="B8" s="3" t="s">
        <v>10</v>
      </c>
      <c r="C8" s="34" t="s">
        <v>49</v>
      </c>
      <c r="D8" s="35"/>
      <c r="E8" s="35"/>
      <c r="F8" s="35"/>
      <c r="G8" s="35"/>
      <c r="H8" s="36" t="s">
        <v>35</v>
      </c>
      <c r="I8" s="37"/>
      <c r="J8" s="34" t="s">
        <v>47</v>
      </c>
      <c r="K8" s="38"/>
      <c r="M8" t="s">
        <v>37</v>
      </c>
      <c r="N8">
        <f>IF(ISNA($N$6),$N$5,$N$6)</f>
        <v>5439</v>
      </c>
      <c r="P8" t="s">
        <v>32</v>
      </c>
      <c r="Q8">
        <v>13443</v>
      </c>
    </row>
    <row r="9" spans="2:17" ht="22.7" customHeight="1" x14ac:dyDescent="0.25">
      <c r="B9" s="3" t="s">
        <v>39</v>
      </c>
      <c r="C9" s="75" t="s">
        <v>52</v>
      </c>
      <c r="D9" s="76"/>
      <c r="E9" s="76"/>
      <c r="F9" s="76"/>
      <c r="G9" s="76"/>
      <c r="H9" s="76"/>
      <c r="I9" s="76"/>
      <c r="J9" s="76"/>
      <c r="K9" s="77"/>
    </row>
    <row r="10" spans="2:17" ht="22.7" customHeight="1" x14ac:dyDescent="0.25">
      <c r="B10" s="3" t="s">
        <v>11</v>
      </c>
      <c r="C10" s="39" t="s">
        <v>53</v>
      </c>
      <c r="D10" s="74"/>
      <c r="E10" s="74"/>
      <c r="F10" s="4" t="s">
        <v>12</v>
      </c>
      <c r="G10" s="39" t="s">
        <v>54</v>
      </c>
      <c r="H10" s="74"/>
      <c r="I10" s="4" t="s">
        <v>13</v>
      </c>
      <c r="J10" s="69"/>
      <c r="K10" s="70"/>
    </row>
    <row r="11" spans="2:17" ht="22.7" customHeight="1" thickBot="1" x14ac:dyDescent="0.3">
      <c r="B11" s="6" t="s">
        <v>14</v>
      </c>
      <c r="C11" s="24" t="s">
        <v>61</v>
      </c>
      <c r="D11" s="7" t="s">
        <v>15</v>
      </c>
      <c r="E11" s="23">
        <v>35000</v>
      </c>
      <c r="F11" s="7" t="s">
        <v>16</v>
      </c>
      <c r="G11" s="22">
        <v>15</v>
      </c>
      <c r="H11" s="8" t="s">
        <v>17</v>
      </c>
      <c r="I11" s="21">
        <v>5</v>
      </c>
      <c r="J11" s="87" t="s">
        <v>18</v>
      </c>
      <c r="K11" s="88"/>
    </row>
    <row r="12" spans="2:17" ht="26.45" customHeight="1" thickTop="1" thickBot="1" x14ac:dyDescent="0.3">
      <c r="B12" s="78" t="s">
        <v>19</v>
      </c>
      <c r="C12" s="79"/>
      <c r="D12" s="79"/>
      <c r="E12" s="79"/>
      <c r="F12" s="79"/>
      <c r="G12" s="79"/>
      <c r="H12" s="79"/>
      <c r="I12" s="79"/>
      <c r="J12" s="79"/>
      <c r="K12" s="80"/>
    </row>
    <row r="13" spans="2:17" ht="22.7" customHeight="1" thickTop="1" x14ac:dyDescent="0.25">
      <c r="B13" s="9" t="s">
        <v>1</v>
      </c>
      <c r="C13" s="25"/>
      <c r="D13" s="10" t="s">
        <v>2</v>
      </c>
      <c r="E13" s="25"/>
      <c r="F13" s="81" t="s">
        <v>3</v>
      </c>
      <c r="G13" s="82"/>
      <c r="H13" s="83"/>
      <c r="I13" s="84"/>
      <c r="J13" s="11" t="s">
        <v>20</v>
      </c>
      <c r="K13" s="26"/>
    </row>
    <row r="14" spans="2:17" ht="22.7" customHeight="1" x14ac:dyDescent="0.25">
      <c r="B14" s="12" t="s">
        <v>4</v>
      </c>
      <c r="C14" s="27"/>
      <c r="D14" s="11" t="s">
        <v>5</v>
      </c>
      <c r="E14" s="27"/>
      <c r="F14" s="27" t="s">
        <v>25</v>
      </c>
      <c r="G14" s="27"/>
      <c r="H14" s="85" t="s">
        <v>6</v>
      </c>
      <c r="I14" s="86"/>
      <c r="J14" s="67"/>
      <c r="K14" s="71"/>
    </row>
    <row r="15" spans="2:17" ht="22.7" customHeight="1" x14ac:dyDescent="0.25">
      <c r="B15" s="12" t="s">
        <v>9</v>
      </c>
      <c r="C15" s="53"/>
      <c r="D15" s="54"/>
      <c r="E15" s="54"/>
      <c r="F15" s="54"/>
      <c r="G15" s="54"/>
      <c r="H15" s="54"/>
      <c r="I15" s="54"/>
      <c r="J15" s="54"/>
      <c r="K15" s="55"/>
    </row>
    <row r="16" spans="2:17" ht="22.7" customHeight="1" thickBot="1" x14ac:dyDescent="0.3">
      <c r="B16" s="12" t="s">
        <v>11</v>
      </c>
      <c r="C16" s="67"/>
      <c r="D16" s="68"/>
      <c r="E16" s="68"/>
      <c r="F16" s="13" t="s">
        <v>12</v>
      </c>
      <c r="G16" s="67"/>
      <c r="H16" s="68"/>
      <c r="I16" s="13" t="s">
        <v>13</v>
      </c>
      <c r="J16" s="69"/>
      <c r="K16" s="70"/>
    </row>
    <row r="17" spans="2:11" ht="26.45" customHeight="1" thickTop="1" thickBot="1" x14ac:dyDescent="0.3">
      <c r="B17" s="58" t="s">
        <v>21</v>
      </c>
      <c r="C17" s="59"/>
      <c r="D17" s="59"/>
      <c r="E17" s="59"/>
      <c r="F17" s="59"/>
      <c r="G17" s="59"/>
      <c r="H17" s="59"/>
      <c r="I17" s="59"/>
      <c r="J17" s="59"/>
      <c r="K17" s="60"/>
    </row>
    <row r="18" spans="2:11" ht="23.25" customHeight="1" thickTop="1" thickBot="1" x14ac:dyDescent="0.3">
      <c r="B18" s="14" t="s">
        <v>1</v>
      </c>
      <c r="C18" s="29" t="s">
        <v>55</v>
      </c>
      <c r="D18" s="15" t="s">
        <v>22</v>
      </c>
      <c r="E18" s="29" t="s">
        <v>59</v>
      </c>
      <c r="F18" s="56" t="s">
        <v>3</v>
      </c>
      <c r="G18" s="57"/>
      <c r="H18" s="61" t="s">
        <v>57</v>
      </c>
      <c r="I18" s="62"/>
      <c r="J18" s="62"/>
      <c r="K18" s="63"/>
    </row>
    <row r="19" spans="2:11" ht="23.25" customHeight="1" thickTop="1" thickBot="1" x14ac:dyDescent="0.3">
      <c r="B19" s="14" t="s">
        <v>1</v>
      </c>
      <c r="C19" s="29" t="s">
        <v>56</v>
      </c>
      <c r="D19" s="15" t="s">
        <v>22</v>
      </c>
      <c r="E19" s="29" t="s">
        <v>60</v>
      </c>
      <c r="F19" s="56" t="s">
        <v>3</v>
      </c>
      <c r="G19" s="57"/>
      <c r="H19" s="61" t="s">
        <v>58</v>
      </c>
      <c r="I19" s="62"/>
      <c r="J19" s="62"/>
      <c r="K19" s="63"/>
    </row>
    <row r="20" spans="2:11" ht="23.25" customHeight="1" thickTop="1" thickBot="1" x14ac:dyDescent="0.3">
      <c r="B20" s="14" t="s">
        <v>1</v>
      </c>
      <c r="C20" s="28"/>
      <c r="D20" s="15" t="s">
        <v>22</v>
      </c>
      <c r="E20" s="28"/>
      <c r="F20" s="56" t="s">
        <v>3</v>
      </c>
      <c r="G20" s="57"/>
      <c r="H20" s="64"/>
      <c r="I20" s="65"/>
      <c r="J20" s="65"/>
      <c r="K20" s="66"/>
    </row>
    <row r="21" spans="2:11" ht="17.25" thickTop="1" x14ac:dyDescent="0.25"/>
    <row r="22" spans="2:11" x14ac:dyDescent="0.25">
      <c r="B22" s="16" t="s">
        <v>24</v>
      </c>
      <c r="C22" s="17"/>
      <c r="D22" t="s">
        <v>23</v>
      </c>
    </row>
  </sheetData>
  <sheetProtection algorithmName="SHA-512" hashValue="MHr0Vx3b4BU5McJ7VRZd352fmcUnHaUTHFholkPM7UJbgcXTlPUo3T2Wz5OAvusVKncUIo8lrQtYeW5+g1x4fA==" saltValue="67ZlUR10TMLDTwijNa2GMw==" spinCount="100000" sheet="1" objects="1" scenarios="1" selectLockedCells="1"/>
  <protectedRanges>
    <protectedRange sqref="J4:K5 C4:C6 E6 E4:G5 C9:I9 C10:E10 C11 E11 G10:H11 J10:K10 K9 C13:C14 E13 H13:I13 E14:G14 K13 G6:I6 K6 C7:K8" name="input"/>
  </protectedRanges>
  <mergeCells count="37">
    <mergeCell ref="J14:K14"/>
    <mergeCell ref="J6:K6"/>
    <mergeCell ref="C10:E10"/>
    <mergeCell ref="G10:H10"/>
    <mergeCell ref="J10:K10"/>
    <mergeCell ref="C9:K9"/>
    <mergeCell ref="B12:K12"/>
    <mergeCell ref="F13:G13"/>
    <mergeCell ref="H13:I13"/>
    <mergeCell ref="H14:I14"/>
    <mergeCell ref="H6:I6"/>
    <mergeCell ref="J11:K11"/>
    <mergeCell ref="C15:K15"/>
    <mergeCell ref="F19:G19"/>
    <mergeCell ref="F20:G20"/>
    <mergeCell ref="B17:K17"/>
    <mergeCell ref="H18:K18"/>
    <mergeCell ref="H19:K19"/>
    <mergeCell ref="H20:K20"/>
    <mergeCell ref="C16:E16"/>
    <mergeCell ref="G16:H16"/>
    <mergeCell ref="J16:K16"/>
    <mergeCell ref="F18:G18"/>
    <mergeCell ref="B1:K1"/>
    <mergeCell ref="C7:G7"/>
    <mergeCell ref="C8:G8"/>
    <mergeCell ref="H7:I7"/>
    <mergeCell ref="H8:I8"/>
    <mergeCell ref="J7:K7"/>
    <mergeCell ref="J8:K8"/>
    <mergeCell ref="H5:I5"/>
    <mergeCell ref="J5:K5"/>
    <mergeCell ref="B2:K2"/>
    <mergeCell ref="B3:K3"/>
    <mergeCell ref="E4:G4"/>
    <mergeCell ref="H4:I4"/>
    <mergeCell ref="J4:K4"/>
  </mergeCells>
  <phoneticPr fontId="2" type="noConversion"/>
  <conditionalFormatting sqref="C13">
    <cfRule type="expression" dxfId="1" priority="1">
      <formula>"Rane(C12).Value&lt;&gt;"""""</formula>
    </cfRule>
  </conditionalFormatting>
  <conditionalFormatting sqref="H13 K13 E13:E14 F14:G14 J14 C14:C15">
    <cfRule type="expression" dxfId="0" priority="2">
      <formula>"C12&lt;&gt;"""""</formula>
    </cfRule>
  </conditionalFormatting>
  <dataValidations count="4">
    <dataValidation type="list" allowBlank="1" showInputMessage="1" showErrorMessage="1" sqref="E6" xr:uid="{00000000-0002-0000-0000-000000000000}">
      <formula1>"8,10,12,18,24,30,36"</formula1>
    </dataValidation>
    <dataValidation type="list" allowBlank="1" showInputMessage="1" showErrorMessage="1" sqref="C6" xr:uid="{00000000-0002-0000-0000-000001000000}">
      <formula1>"60000,70000,80000,90000,100000,110000,120000,130000,140000,150000"</formula1>
    </dataValidation>
    <dataValidation type="list" allowBlank="1" showInputMessage="1" showErrorMessage="1" sqref="F5 F14" xr:uid="{00000000-0002-0000-0000-000002000000}">
      <formula1>"北市,新北市,北縣,基市,宜縣,桃市,桃縣,竹市,竹縣,苗縣,中市,中縣,嘉市,彰縣,投縣,雲縣,嘉縣,南市,南縣,高市,高縣,屏縣,東縣,花縣,澎縣,連江,金門"</formula1>
    </dataValidation>
    <dataValidation type="list" allowBlank="1" showInputMessage="1" showErrorMessage="1" sqref="G5 G14" xr:uid="{00000000-0002-0000-0000-000003000000}">
      <formula1>"初發,換發,補發"</formula1>
    </dataValidation>
  </dataValidation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進件申請書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第一資融陳昕偉</dc:creator>
  <cp:lastModifiedBy>郁晴 邱</cp:lastModifiedBy>
  <dcterms:created xsi:type="dcterms:W3CDTF">2024-08-22T06:36:30Z</dcterms:created>
  <dcterms:modified xsi:type="dcterms:W3CDTF">2026-03-16T04:35:37Z</dcterms:modified>
</cp:coreProperties>
</file>