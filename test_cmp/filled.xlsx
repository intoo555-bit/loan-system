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605" yWindow="195" windowWidth="18480" windowHeight="14610" tabRatio="600" firstSheet="0" activeTab="0" autoFilterDateGrouping="1"/>
  </bookViews>
  <sheets>
    <sheet name="進件申請書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_ "/>
    <numFmt numFmtId="165" formatCode="#,##0.00_ ;[Red]\-#,##0.00\ "/>
    <numFmt numFmtId="166" formatCode="#,##0_);[Red]\(#,##0\)"/>
  </numFmts>
  <fonts count="15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b val="1"/>
      <color theme="1"/>
      <sz val="16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2"/>
      <color theme="10"/>
      <sz val="12"/>
      <u val="single"/>
      <scheme val="minor"/>
    </font>
    <font>
      <name val="細明體"/>
      <charset val="136"/>
      <family val="3"/>
      <color indexed="81"/>
      <sz val="9"/>
    </font>
    <font>
      <name val="Tahoma"/>
      <family val="2"/>
      <color indexed="81"/>
      <sz val="9"/>
    </font>
    <font>
      <name val="細明體"/>
      <charset val="136"/>
      <family val="3"/>
      <b val="1"/>
      <color indexed="81"/>
      <sz val="9"/>
    </font>
    <font>
      <name val="Tahoma"/>
      <family val="2"/>
      <b val="1"/>
      <color indexed="81"/>
      <sz val="9"/>
    </font>
    <font>
      <name val="微軟正黑體"/>
      <charset val="136"/>
      <family val="2"/>
      <b val="1"/>
      <sz val="14"/>
    </font>
    <font>
      <name val="微軟正黑體"/>
      <charset val="136"/>
      <family val="2"/>
      <b val="1"/>
      <color theme="1"/>
      <sz val="14"/>
    </font>
    <font>
      <name val="新細明體"/>
      <charset val="136"/>
      <family val="2"/>
      <b val="1"/>
      <color theme="1"/>
      <sz val="12"/>
      <scheme val="minor"/>
    </font>
    <font>
      <name val="微軟正黑體"/>
      <charset val="136"/>
      <family val="2"/>
      <b val="1"/>
      <color theme="1"/>
      <sz val="12"/>
    </font>
    <font>
      <name val="新細明體"/>
      <charset val="136"/>
      <family val="2"/>
      <b val="1"/>
      <color theme="10"/>
      <sz val="12"/>
      <u val="single"/>
      <scheme val="minor"/>
    </font>
    <font>
      <name val="微軟正黑體"/>
      <charset val="136"/>
      <family val="2"/>
      <b val="1"/>
      <color theme="5" tint="-0.499984740745262"/>
      <sz val="14"/>
    </font>
  </fonts>
  <fills count="9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 applyAlignment="1">
      <alignment vertical="center"/>
    </xf>
    <xf numFmtId="0" fontId="4" fillId="0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49" fontId="3" fillId="2" borderId="4" applyAlignment="1" pivotButton="0" quotePrefix="0" xfId="0">
      <alignment vertical="center"/>
    </xf>
    <xf numFmtId="49" fontId="3" fillId="2" borderId="5" applyAlignment="1" pivotButton="0" quotePrefix="0" xfId="0">
      <alignment vertical="center"/>
    </xf>
    <xf numFmtId="49" fontId="3" fillId="2" borderId="10" applyAlignment="1" pivotButton="0" quotePrefix="0" xfId="0">
      <alignment vertical="center"/>
    </xf>
    <xf numFmtId="49" fontId="3" fillId="2" borderId="11" applyAlignment="1" pivotButton="0" quotePrefix="0" xfId="0">
      <alignment vertical="center"/>
    </xf>
    <xf numFmtId="49" fontId="0" fillId="2" borderId="11" applyAlignment="1" pivotButton="0" quotePrefix="0" xfId="0">
      <alignment vertical="center"/>
    </xf>
    <xf numFmtId="49" fontId="3" fillId="2" borderId="17" applyAlignment="1" pivotButton="0" quotePrefix="0" xfId="0">
      <alignment vertical="center"/>
    </xf>
    <xf numFmtId="49" fontId="3" fillId="2" borderId="18" applyAlignment="1" pivotButton="0" quotePrefix="0" xfId="0">
      <alignment vertical="center"/>
    </xf>
    <xf numFmtId="49" fontId="3" fillId="6" borderId="20" applyAlignment="1" pivotButton="0" quotePrefix="0" xfId="0">
      <alignment vertical="center"/>
    </xf>
    <xf numFmtId="49" fontId="3" fillId="4" borderId="4" applyAlignment="1" pivotButton="0" quotePrefix="0" xfId="0">
      <alignment vertical="center"/>
    </xf>
    <xf numFmtId="49" fontId="3" fillId="5" borderId="5" applyAlignment="1" pivotButton="0" quotePrefix="0" xfId="0">
      <alignment vertical="center"/>
    </xf>
    <xf numFmtId="49" fontId="3" fillId="5" borderId="11" applyAlignment="1" pivotButton="0" quotePrefix="0" xfId="0">
      <alignment vertical="center"/>
    </xf>
    <xf numFmtId="49" fontId="3" fillId="4" borderId="10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49" fontId="3" fillId="8" borderId="22" applyAlignment="1" pivotButton="0" quotePrefix="0" xfId="0">
      <alignment vertical="center"/>
    </xf>
    <xf numFmtId="49" fontId="3" fillId="8" borderId="23" applyAlignment="1" pivotButton="0" quotePrefix="0" xfId="0">
      <alignment vertical="center"/>
    </xf>
    <xf numFmtId="49" fontId="3" fillId="7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49" fontId="12" fillId="6" borderId="5" applyAlignment="1" applyProtection="1" pivotButton="0" quotePrefix="0" xfId="0">
      <alignment vertical="center"/>
      <protection locked="0" hidden="0"/>
    </xf>
    <xf numFmtId="49" fontId="12" fillId="6" borderId="11" applyAlignment="1" applyProtection="1" pivotButton="0" quotePrefix="0" xfId="0">
      <alignment vertical="center"/>
      <protection locked="0" hidden="0"/>
    </xf>
    <xf numFmtId="164" fontId="12" fillId="6" borderId="11" applyAlignment="1" applyProtection="1" pivotButton="0" quotePrefix="0" xfId="0">
      <alignment vertical="center"/>
      <protection locked="0" hidden="0"/>
    </xf>
    <xf numFmtId="164" fontId="12" fillId="6" borderId="20" applyAlignment="1" applyProtection="1" pivotButton="0" quotePrefix="0" xfId="0">
      <alignment vertical="center"/>
      <protection locked="0" hidden="0"/>
    </xf>
    <xf numFmtId="164" fontId="12" fillId="6" borderId="19" applyAlignment="1" applyProtection="1" pivotButton="0" quotePrefix="0" xfId="0">
      <alignment vertical="center"/>
      <protection locked="0" hidden="0"/>
    </xf>
    <xf numFmtId="164" fontId="12" fillId="6" borderId="18" applyAlignment="1" applyProtection="1" pivotButton="0" quotePrefix="0" xfId="0">
      <alignment vertical="center"/>
      <protection locked="0" hidden="0"/>
    </xf>
    <xf numFmtId="49" fontId="12" fillId="6" borderId="18" applyAlignment="1" applyProtection="1" pivotButton="0" quotePrefix="0" xfId="0">
      <alignment vertical="center"/>
      <protection locked="0" hidden="0"/>
    </xf>
    <xf numFmtId="49" fontId="12" fillId="0" borderId="5" applyAlignment="1" applyProtection="1" pivotButton="0" quotePrefix="0" xfId="0">
      <alignment vertical="center"/>
      <protection locked="0" hidden="0"/>
    </xf>
    <xf numFmtId="49" fontId="11" fillId="0" borderId="12" applyAlignment="1" applyProtection="1" pivotButton="0" quotePrefix="0" xfId="0">
      <alignment vertical="center"/>
      <protection locked="0" hidden="0"/>
    </xf>
    <xf numFmtId="49" fontId="12" fillId="0" borderId="11" applyAlignment="1" applyProtection="1" pivotButton="0" quotePrefix="0" xfId="0">
      <alignment vertical="center"/>
      <protection locked="0" hidden="0"/>
    </xf>
    <xf numFmtId="49" fontId="12" fillId="7" borderId="23" applyAlignment="1" applyProtection="1" pivotButton="0" quotePrefix="0" xfId="0">
      <alignment vertical="center"/>
      <protection locked="0" hidden="0"/>
    </xf>
    <xf numFmtId="49" fontId="12" fillId="6" borderId="23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0">
      <alignment vertical="center"/>
    </xf>
    <xf numFmtId="166" fontId="12" fillId="2" borderId="11" applyAlignment="1" pivotButton="0" quotePrefix="0" xfId="0">
      <alignment vertical="center"/>
    </xf>
    <xf numFmtId="49" fontId="14" fillId="0" borderId="0" applyAlignment="1" applyProtection="1" pivotButton="0" quotePrefix="0" xfId="0">
      <alignment horizontal="center" vertical="center"/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49" fontId="12" fillId="6" borderId="13" applyAlignment="1" applyProtection="1" pivotButton="0" quotePrefix="0" xfId="0">
      <alignment horizontal="left" vertical="center"/>
      <protection locked="0" hidden="0"/>
    </xf>
    <xf numFmtId="49" fontId="12" fillId="6" borderId="14" applyAlignment="1" applyProtection="1" pivotButton="0" quotePrefix="0" xfId="0">
      <alignment horizontal="left" vertical="center"/>
      <protection locked="0" hidden="0"/>
    </xf>
    <xf numFmtId="49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49" fontId="12" fillId="6" borderId="15" applyAlignment="1" applyProtection="1" pivotButton="0" quotePrefix="0" xfId="0">
      <alignment horizontal="left" vertical="center"/>
      <protection locked="0" hidden="0"/>
    </xf>
    <xf numFmtId="49" fontId="12" fillId="6" borderId="11" applyAlignment="1" applyProtection="1" pivotButton="0" quotePrefix="0" xfId="0">
      <alignment vertical="center"/>
      <protection locked="0" hidden="0"/>
    </xf>
    <xf numFmtId="0" fontId="12" fillId="6" borderId="12" applyAlignment="1" applyProtection="1" pivotButton="0" quotePrefix="0" xfId="0">
      <alignment vertical="center"/>
      <protection locked="0" hidden="0"/>
    </xf>
    <xf numFmtId="49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9" fontId="9" fillId="2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49" fontId="12" fillId="6" borderId="6" applyAlignment="1" applyProtection="1" pivotButton="0" quotePrefix="0" xfId="0">
      <alignment vertical="center"/>
      <protection locked="0" hidden="0"/>
    </xf>
    <xf numFmtId="49" fontId="12" fillId="6" borderId="7" applyAlignment="1" applyProtection="1" pivotButton="0" quotePrefix="0" xfId="0">
      <alignment vertical="center"/>
      <protection locked="0" hidden="0"/>
    </xf>
    <xf numFmtId="49" fontId="12" fillId="6" borderId="8" applyAlignment="1" applyProtection="1" pivotButton="0" quotePrefix="0" xfId="0">
      <alignment vertical="center"/>
      <protection locked="0" hidden="0"/>
    </xf>
    <xf numFmtId="4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49" fontId="12" fillId="6" borderId="5" applyAlignment="1" applyProtection="1" pivotButton="0" quotePrefix="0" xfId="0">
      <alignment vertical="center"/>
      <protection locked="0" hidden="0"/>
    </xf>
    <xf numFmtId="0" fontId="12" fillId="6" borderId="9" applyAlignment="1" applyProtection="1" pivotButton="0" quotePrefix="0" xfId="0">
      <alignment vertical="center"/>
      <protection locked="0" hidden="0"/>
    </xf>
    <xf numFmtId="49" fontId="12" fillId="0" borderId="13" applyAlignment="1" applyProtection="1" pivotButton="0" quotePrefix="0" xfId="0">
      <alignment horizontal="left" vertical="center"/>
      <protection locked="0" hidden="0"/>
    </xf>
    <xf numFmtId="49" fontId="12" fillId="0" borderId="14" applyAlignment="1" applyProtection="1" pivotButton="0" quotePrefix="0" xfId="0">
      <alignment horizontal="left" vertical="center"/>
      <protection locked="0" hidden="0"/>
    </xf>
    <xf numFmtId="49" fontId="12" fillId="0" borderId="15" applyAlignment="1" applyProtection="1" pivotButton="0" quotePrefix="0" xfId="0">
      <alignment horizontal="left" vertical="center"/>
      <protection locked="0" hidden="0"/>
    </xf>
    <xf numFmtId="49" fontId="3" fillId="8" borderId="24" applyAlignment="1" pivotButton="0" quotePrefix="0" xfId="0">
      <alignment horizontal="center" vertical="center"/>
    </xf>
    <xf numFmtId="49" fontId="3" fillId="8" borderId="25" applyAlignment="1" pivotButton="0" quotePrefix="0" xfId="0">
      <alignment horizontal="center" vertical="center"/>
    </xf>
    <xf numFmtId="49" fontId="10" fillId="8" borderId="1" applyAlignment="1" pivotButton="0" quotePrefix="0" xfId="0">
      <alignment horizontal="center" vertical="center"/>
    </xf>
    <xf numFmtId="49" fontId="10" fillId="8" borderId="2" applyAlignment="1" pivotButton="0" quotePrefix="0" xfId="0">
      <alignment horizontal="center" vertical="center"/>
    </xf>
    <xf numFmtId="49" fontId="10" fillId="8" borderId="3" applyAlignment="1" pivotButton="0" quotePrefix="0" xfId="0">
      <alignment horizontal="center" vertical="center"/>
    </xf>
    <xf numFmtId="49" fontId="12" fillId="6" borderId="24" applyAlignment="1" applyProtection="1" pivotButton="0" quotePrefix="0" xfId="0">
      <alignment horizontal="center" vertical="center"/>
      <protection locked="0" hidden="0"/>
    </xf>
    <xf numFmtId="49" fontId="12" fillId="6" borderId="2" applyAlignment="1" applyProtection="1" pivotButton="0" quotePrefix="0" xfId="0">
      <alignment horizontal="center" vertical="center"/>
      <protection locked="0" hidden="0"/>
    </xf>
    <xf numFmtId="49" fontId="12" fillId="6" borderId="3" applyAlignment="1" applyProtection="1" pivotButton="0" quotePrefix="0" xfId="0">
      <alignment horizontal="center" vertical="center"/>
      <protection locked="0" hidden="0"/>
    </xf>
    <xf numFmtId="49" fontId="12" fillId="7" borderId="24" applyAlignment="1" applyProtection="1" pivotButton="0" quotePrefix="0" xfId="0">
      <alignment horizontal="center" vertical="center"/>
      <protection locked="0" hidden="0"/>
    </xf>
    <xf numFmtId="49" fontId="12" fillId="7" borderId="2" applyAlignment="1" applyProtection="1" pivotButton="0" quotePrefix="0" xfId="0">
      <alignment horizontal="center" vertical="center"/>
      <protection locked="0" hidden="0"/>
    </xf>
    <xf numFmtId="49" fontId="12" fillId="7" borderId="3" applyAlignment="1" applyProtection="1" pivotButton="0" quotePrefix="0" xfId="0">
      <alignment horizontal="center" vertical="center"/>
      <protection locked="0" hidden="0"/>
    </xf>
    <xf numFmtId="49" fontId="12" fillId="0" borderId="11" applyAlignment="1" applyProtection="1" pivotButton="0" quotePrefix="0" xfId="0">
      <alignment vertical="center"/>
      <protection locked="0" hidden="0"/>
    </xf>
    <xf numFmtId="0" fontId="12" fillId="0" borderId="11" applyAlignment="1" applyProtection="1" pivotButton="0" quotePrefix="0" xfId="0">
      <alignment vertical="center"/>
      <protection locked="0" hidden="0"/>
    </xf>
    <xf numFmtId="49" fontId="12" fillId="0" borderId="13" applyAlignment="1" applyProtection="1" pivotButton="0" quotePrefix="0" xfId="0">
      <alignment vertical="center"/>
      <protection locked="0" hidden="0"/>
    </xf>
    <xf numFmtId="0" fontId="11" fillId="0" borderId="15" applyAlignment="1" applyProtection="1" pivotButton="0" quotePrefix="0" xfId="0">
      <alignment vertical="center"/>
      <protection locked="0" hidden="0"/>
    </xf>
    <xf numFmtId="0" fontId="12" fillId="0" borderId="12" applyAlignment="1" applyProtection="1" pivotButton="0" quotePrefix="0" xfId="0">
      <alignment vertical="center"/>
      <protection locked="0" hidden="0"/>
    </xf>
    <xf numFmtId="49" fontId="12" fillId="2" borderId="13" applyAlignment="1" pivotButton="0" quotePrefix="0" xfId="0">
      <alignment horizontal="left" vertical="center"/>
    </xf>
    <xf numFmtId="49" fontId="12" fillId="2" borderId="15" applyAlignment="1" pivotButton="0" quotePrefix="0" xfId="0">
      <alignment horizontal="left" vertical="center"/>
    </xf>
    <xf numFmtId="0" fontId="12" fillId="6" borderId="11" applyAlignment="1" applyProtection="1" pivotButton="0" quotePrefix="0" xfId="0">
      <alignment vertical="center"/>
      <protection locked="0" hidden="0"/>
    </xf>
    <xf numFmtId="49" fontId="13" fillId="0" borderId="13" applyAlignment="1" applyProtection="1" pivotButton="0" quotePrefix="0" xfId="1">
      <alignment vertical="center"/>
      <protection locked="0" hidden="0"/>
    </xf>
    <xf numFmtId="49" fontId="13" fillId="0" borderId="14" applyAlignment="1" applyProtection="1" pivotButton="0" quotePrefix="0" xfId="1">
      <alignment vertical="center"/>
      <protection locked="0" hidden="0"/>
    </xf>
    <xf numFmtId="49" fontId="13" fillId="0" borderId="15" applyAlignment="1" applyProtection="1" pivotButton="0" quotePrefix="0" xfId="1">
      <alignment vertical="center"/>
      <protection locked="0" hidden="0"/>
    </xf>
    <xf numFmtId="49" fontId="10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49" fontId="3" fillId="5" borderId="6" applyAlignment="1" pivotButton="0" quotePrefix="0" xfId="0">
      <alignment horizontal="center" vertical="center"/>
    </xf>
    <xf numFmtId="49" fontId="3" fillId="5" borderId="8" applyAlignment="1" pivotButton="0" quotePrefix="0" xfId="0">
      <alignment horizontal="center" vertical="center"/>
    </xf>
    <xf numFmtId="49" fontId="12" fillId="0" borderId="5" applyAlignment="1" applyProtection="1" pivotButton="0" quotePrefix="0" xfId="0">
      <alignment vertical="center"/>
      <protection locked="0" hidden="0"/>
    </xf>
    <xf numFmtId="0" fontId="12" fillId="0" borderId="9" applyAlignment="1" applyProtection="1" pivotButton="0" quotePrefix="0" xfId="0">
      <alignment vertical="center"/>
      <protection locked="0" hidden="0"/>
    </xf>
    <xf numFmtId="49" fontId="3" fillId="5" borderId="13" applyAlignment="1" pivotButton="0" quotePrefix="0" xfId="0">
      <alignment horizontal="center" vertical="center"/>
    </xf>
    <xf numFmtId="49" fontId="3" fillId="5" borderId="16" applyAlignment="1" pivotButton="0" quotePrefix="0" xfId="0">
      <alignment horizontal="center" vertical="center"/>
    </xf>
    <xf numFmtId="49" fontId="3" fillId="6" borderId="20" applyAlignment="1" pivotButton="0" quotePrefix="0" xfId="0">
      <alignment vertical="center"/>
    </xf>
    <xf numFmtId="49" fontId="3" fillId="6" borderId="21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49" fontId="9" fillId="2" borderId="2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8" pivotButton="0" quotePrefix="0" xfId="0"/>
    <xf numFmtId="165" fontId="0" fillId="0" borderId="0" applyAlignment="1" pivotButton="0" quotePrefix="0" xfId="0">
      <alignment vertical="center"/>
    </xf>
    <xf numFmtId="0" fontId="0" fillId="0" borderId="16" pivotButton="0" quotePrefix="0" xfId="0"/>
    <xf numFmtId="0" fontId="0" fillId="0" borderId="16" applyProtection="1" pivotButton="0" quotePrefix="0" xfId="0">
      <protection locked="0" hidden="0"/>
    </xf>
    <xf numFmtId="164" fontId="12" fillId="6" borderId="11" applyAlignment="1" applyProtection="1" pivotButton="0" quotePrefix="0" xfId="0">
      <alignment vertical="center"/>
      <protection locked="0" hidden="0"/>
    </xf>
    <xf numFmtId="166" fontId="12" fillId="2" borderId="11" applyAlignment="1" pivotButton="0" quotePrefix="0" xfId="0">
      <alignment vertical="center"/>
    </xf>
    <xf numFmtId="49" fontId="12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4" applyProtection="1" pivotButton="0" quotePrefix="0" xfId="0">
      <protection locked="0" hidden="0"/>
    </xf>
    <xf numFmtId="49" fontId="12" fillId="6" borderId="12" applyAlignment="1" applyProtection="1" pivotButton="0" quotePrefix="0" xfId="0">
      <alignment horizontal="left" vertical="center"/>
      <protection locked="0" hidden="0"/>
    </xf>
    <xf numFmtId="0" fontId="0" fillId="0" borderId="15" applyProtection="1" pivotButton="0" quotePrefix="0" xfId="0">
      <protection locked="0" hidden="0"/>
    </xf>
    <xf numFmtId="49" fontId="13" fillId="0" borderId="12" applyAlignment="1" applyProtection="1" pivotButton="0" quotePrefix="0" xfId="1">
      <alignment vertical="center"/>
      <protection locked="0" hidden="0"/>
    </xf>
    <xf numFmtId="49" fontId="12" fillId="0" borderId="12" applyAlignment="1" applyProtection="1" pivotButton="0" quotePrefix="0" xfId="0">
      <alignment vertical="center"/>
      <protection locked="0" hidden="0"/>
    </xf>
    <xf numFmtId="164" fontId="12" fillId="6" borderId="18" applyAlignment="1" applyProtection="1" pivotButton="0" quotePrefix="0" xfId="0">
      <alignment vertical="center"/>
      <protection locked="0" hidden="0"/>
    </xf>
    <xf numFmtId="164" fontId="12" fillId="6" borderId="19" applyAlignment="1" applyProtection="1" pivotButton="0" quotePrefix="0" xfId="0">
      <alignment vertical="center"/>
      <protection locked="0" hidden="0"/>
    </xf>
    <xf numFmtId="164" fontId="12" fillId="6" borderId="20" applyAlignment="1" applyProtection="1" pivotButton="0" quotePrefix="0" xfId="0">
      <alignment vertical="center"/>
      <protection locked="0" hidden="0"/>
    </xf>
    <xf numFmtId="0" fontId="0" fillId="0" borderId="21" pivotButton="0" quotePrefix="0" xfId="0"/>
    <xf numFmtId="49" fontId="10" fillId="3" borderId="29" applyAlignment="1" pivotButton="0" quotePrefix="0" xfId="0">
      <alignment horizontal="center" vertical="center"/>
    </xf>
    <xf numFmtId="49" fontId="3" fillId="5" borderId="5" applyAlignment="1" pivotButton="0" quotePrefix="0" xfId="0">
      <alignment horizontal="center" vertical="center"/>
    </xf>
    <xf numFmtId="49" fontId="3" fillId="5" borderId="11" applyAlignment="1" pivotButton="0" quotePrefix="0" xfId="0">
      <alignment horizontal="center" vertical="center"/>
    </xf>
    <xf numFmtId="49" fontId="12" fillId="0" borderId="12" applyAlignment="1" applyProtection="1" pivotButton="0" quotePrefix="0" xfId="0">
      <alignment horizontal="left" vertical="center"/>
      <protection locked="0" hidden="0"/>
    </xf>
    <xf numFmtId="49" fontId="10" fillId="8" borderId="29" applyAlignment="1" pivotButton="0" quotePrefix="0" xfId="0">
      <alignment horizontal="center" vertical="center"/>
    </xf>
    <xf numFmtId="49" fontId="3" fillId="8" borderId="23" applyAlignment="1" pivotButton="0" quotePrefix="0" xfId="0">
      <alignment horizontal="center" vertical="center"/>
    </xf>
    <xf numFmtId="0" fontId="0" fillId="0" borderId="25" pivotButton="0" quotePrefix="0" xfId="0"/>
    <xf numFmtId="49" fontId="12" fillId="6" borderId="33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49" fontId="12" fillId="7" borderId="33" applyAlignment="1" applyProtection="1" pivotButton="0" quotePrefix="0" xfId="0">
      <alignment horizontal="center" vertical="center"/>
      <protection locked="0" hidden="0"/>
    </xf>
  </cellXfs>
  <cellStyles count="2">
    <cellStyle name="一般" xfId="0" builtinId="0"/>
    <cellStyle name="超連結" xfId="1" builtinId="8"/>
  </cellStyles>
  <dxfs count="2">
    <dxf>
      <fill>
        <patternFill>
          <bgColor rgb="FFFFE5E5"/>
        </patternFill>
      </fill>
    </dxf>
    <dxf>
      <fill>
        <patternFill>
          <bgColor rgb="FFFFE5E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21世紀 馮盈瑛</author>
    <author>李志鴻</author>
  </authors>
  <commentList>
    <comment ref="J4" authorId="0" shapeId="0">
      <text>
        <t>例 0938995559</t>
      </text>
    </comment>
    <comment ref="C5" authorId="0" shapeId="0">
      <text>
        <t xml:space="preserve">民國年,例0810101
</t>
      </text>
    </comment>
    <comment ref="E5" authorId="0" shapeId="0">
      <text>
        <t xml:space="preserve">民國年,例 1010516  </t>
      </text>
    </comment>
    <comment ref="F5" authorId="0" shapeId="0">
      <text>
        <t>發證縣市</t>
      </text>
    </comment>
    <comment ref="G5" authorId="0" shapeId="0">
      <text>
        <t>初補換發</t>
      </text>
    </comment>
    <comment ref="J5" authorId="0" shapeId="0">
      <text>
        <t>例 0255571717</t>
      </text>
    </comment>
    <comment ref="E6" authorId="0" shapeId="0">
      <text>
        <t>下拉式選項</t>
      </text>
    </comment>
    <comment ref="H13" authorId="0" shapeId="0">
      <text>
        <t>例 0938995559</t>
      </text>
    </comment>
    <comment ref="C14" authorId="1" shapeId="0">
      <text>
        <t>民國年,例0810101</t>
      </text>
    </comment>
    <comment ref="E14" authorId="0" shapeId="0">
      <text>
        <t xml:space="preserve">民國年,例 1010516  </t>
      </text>
    </comment>
    <comment ref="F14" authorId="0" shapeId="0">
      <text>
        <t>發證縣市</t>
      </text>
    </comment>
    <comment ref="G14" authorId="0" shapeId="0">
      <text>
        <t>初補換發</t>
      </text>
    </comment>
    <comment ref="J14" authorId="0" shapeId="0">
      <text>
        <t>例 02-55571717</t>
      </text>
    </comment>
    <comment ref="C15" authorId="1" shapeId="0">
      <text>
        <t>縣市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22"/>
  <sheetViews>
    <sheetView showGridLines="0" tabSelected="1" workbookViewId="0">
      <selection activeCell="J5" sqref="J5:K5"/>
    </sheetView>
  </sheetViews>
  <sheetFormatPr baseColWidth="8" defaultRowHeight="16.5"/>
  <cols>
    <col width="4.625" customWidth="1" style="89" min="1" max="1"/>
    <col width="11.625" customWidth="1" style="89" min="2" max="2"/>
    <col width="13.5" customWidth="1" style="89" min="3" max="3"/>
    <col width="11.625" customWidth="1" style="89" min="4" max="4"/>
    <col width="14.5" customWidth="1" style="89" min="5" max="5"/>
    <col width="9.5" customWidth="1" style="89" min="6" max="6"/>
    <col width="12" customWidth="1" style="89" min="7" max="7"/>
    <col width="8.5" customWidth="1" style="89" min="8" max="8"/>
    <col width="6.625" customWidth="1" style="89" min="9" max="9"/>
    <col hidden="1" width="12.5" customWidth="1" style="89" min="13" max="13"/>
    <col hidden="1" width="9" customWidth="1" style="89" min="14" max="15"/>
    <col hidden="1" width="10" customWidth="1" style="89" min="16" max="16"/>
    <col hidden="1" width="10.875" customWidth="1" style="89" min="17" max="17"/>
  </cols>
  <sheetData>
    <row r="1" ht="21.2" customHeight="1" s="89">
      <c r="B1" s="32" t="n"/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</row>
    <row r="2" ht="27.75" customHeight="1" s="89" thickBot="1">
      <c r="B2" s="41" t="inlineStr">
        <is>
          <t>鼎信貸救補-申請書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</row>
    <row r="3" ht="27.75" customHeight="1" s="89" thickBot="1" thickTop="1">
      <c r="B3" s="91" t="inlineStr">
        <is>
          <t>申請人資料</t>
        </is>
      </c>
      <c r="C3" s="92" t="n"/>
      <c r="D3" s="92" t="n"/>
      <c r="E3" s="92" t="n"/>
      <c r="F3" s="92" t="n"/>
      <c r="G3" s="92" t="n"/>
      <c r="H3" s="92" t="n"/>
      <c r="I3" s="92" t="n"/>
      <c r="J3" s="92" t="n"/>
      <c r="K3" s="93" t="n"/>
    </row>
    <row r="4" ht="22.7" customHeight="1" s="89" thickTop="1">
      <c r="B4" s="1" t="inlineStr">
        <is>
          <t>姓名</t>
        </is>
      </c>
      <c r="C4" s="51" t="inlineStr">
        <is>
          <t>王小明</t>
        </is>
      </c>
      <c r="D4" s="2" t="inlineStr">
        <is>
          <t>身份證字號</t>
        </is>
      </c>
      <c r="E4" s="51" t="inlineStr">
        <is>
          <t>A123456789</t>
        </is>
      </c>
      <c r="F4" s="94" t="n"/>
      <c r="G4" s="95" t="n"/>
      <c r="H4" s="49" t="inlineStr">
        <is>
          <t>行動電話</t>
        </is>
      </c>
      <c r="I4" s="96" t="n"/>
      <c r="J4" s="51" t="inlineStr">
        <is>
          <t>0912345678</t>
        </is>
      </c>
      <c r="K4" s="95" t="n"/>
      <c r="M4" s="0" t="inlineStr">
        <is>
          <t>每萬元期付</t>
        </is>
      </c>
      <c r="N4" s="97">
        <f>PMT(0.27/12,$E$6,-10000)</f>
        <v/>
      </c>
      <c r="P4" s="0" t="inlineStr">
        <is>
          <t>貸款金額</t>
        </is>
      </c>
      <c r="Q4" s="0" t="inlineStr">
        <is>
          <t>調整期付款</t>
        </is>
      </c>
    </row>
    <row r="5" ht="22.7" customHeight="1" s="89">
      <c r="B5" s="3" t="inlineStr">
        <is>
          <t>出生日期</t>
        </is>
      </c>
      <c r="C5" s="39" t="inlineStr">
        <is>
          <t>086/12/15</t>
        </is>
      </c>
      <c r="D5" s="4" t="inlineStr">
        <is>
          <t>發證日期</t>
        </is>
      </c>
      <c r="E5" s="39" t="inlineStr">
        <is>
          <t>1080408</t>
        </is>
      </c>
      <c r="F5" s="39" t="inlineStr">
        <is>
          <t>彰縣</t>
        </is>
      </c>
      <c r="G5" s="39" t="inlineStr">
        <is>
          <t>換發</t>
        </is>
      </c>
      <c r="H5" s="36" t="inlineStr">
        <is>
          <t>現住電話</t>
        </is>
      </c>
      <c r="I5" s="98" t="n"/>
      <c r="J5" s="39" t="n"/>
      <c r="K5" s="99" t="n"/>
      <c r="M5" s="0" t="inlineStr">
        <is>
          <t>期付款</t>
        </is>
      </c>
      <c r="N5" s="0">
        <f>ROUND(($C$6/10000)*$N$4,0)</f>
        <v/>
      </c>
      <c r="P5" s="0" t="inlineStr">
        <is>
          <t>100000_24</t>
        </is>
      </c>
      <c r="Q5" s="0" t="n">
        <v>5439</v>
      </c>
    </row>
    <row r="6" ht="22.7" customHeight="1" s="89">
      <c r="B6" s="3" t="inlineStr">
        <is>
          <t>貸款金額</t>
        </is>
      </c>
      <c r="C6" s="100" t="n">
        <v>100000</v>
      </c>
      <c r="D6" s="5" t="inlineStr">
        <is>
          <t>分期總期數</t>
        </is>
      </c>
      <c r="E6" s="39" t="inlineStr">
        <is>
          <t>24</t>
        </is>
      </c>
      <c r="F6" s="4" t="inlineStr">
        <is>
          <t>期付金</t>
        </is>
      </c>
      <c r="G6" s="101">
        <f>IF(ISNUMBER($N$8),$N$8,"")</f>
        <v/>
      </c>
      <c r="H6" s="36" t="inlineStr">
        <is>
          <t>專案別</t>
        </is>
      </c>
      <c r="I6" s="98" t="n"/>
      <c r="J6" s="102" t="inlineStr">
        <is>
          <t>鼎信行銷</t>
        </is>
      </c>
      <c r="K6" s="103" t="n"/>
      <c r="M6" s="0" t="inlineStr">
        <is>
          <t>調整期付款</t>
        </is>
      </c>
      <c r="N6" s="0">
        <f>VLOOKUP(TEXT($C$6,"#") &amp; "_" &amp; TEXT($E$6,"#"),$P$4:$Q$8,2,FALSE)</f>
        <v/>
      </c>
      <c r="P6" s="0" t="inlineStr">
        <is>
          <t>130000_24</t>
        </is>
      </c>
      <c r="Q6" s="0" t="n">
        <v>7070</v>
      </c>
    </row>
    <row r="7" ht="22.7" customHeight="1" s="89">
      <c r="B7" s="3" t="inlineStr">
        <is>
          <t>戶籍地址</t>
        </is>
      </c>
      <c r="C7" s="34" t="inlineStr">
        <is>
          <t>彰化縣員林市溝皂街291號</t>
        </is>
      </c>
      <c r="D7" s="104" t="n"/>
      <c r="E7" s="104" t="n"/>
      <c r="F7" s="104" t="n"/>
      <c r="G7" s="104" t="n"/>
      <c r="H7" s="36" t="inlineStr">
        <is>
          <t>商品名稱</t>
        </is>
      </c>
      <c r="I7" s="98" t="n"/>
      <c r="J7" s="105" t="inlineStr">
        <is>
          <t>vivo</t>
        </is>
      </c>
      <c r="K7" s="106" t="n"/>
      <c r="P7" s="0" t="inlineStr">
        <is>
          <t>110000_18</t>
        </is>
      </c>
      <c r="Q7" s="0" t="n">
        <v>7500</v>
      </c>
    </row>
    <row r="8" ht="22.7" customHeight="1" s="89">
      <c r="B8" s="3" t="inlineStr">
        <is>
          <t>現住地址</t>
        </is>
      </c>
      <c r="C8" s="34" t="inlineStr">
        <is>
          <t>彰化縣員林市溝皂街291號</t>
        </is>
      </c>
      <c r="D8" s="104" t="n"/>
      <c r="E8" s="104" t="n"/>
      <c r="F8" s="104" t="n"/>
      <c r="G8" s="104" t="n"/>
      <c r="H8" s="36" t="inlineStr">
        <is>
          <t>型號</t>
        </is>
      </c>
      <c r="I8" s="98" t="n"/>
      <c r="J8" s="105" t="inlineStr">
        <is>
          <t>vivo V60</t>
        </is>
      </c>
      <c r="K8" s="106" t="n"/>
      <c r="M8" s="0" t="inlineStr">
        <is>
          <t>本案期付款</t>
        </is>
      </c>
      <c r="N8" s="0">
        <f>IF(ISNA($N$6),$N$5,$N$6)</f>
        <v/>
      </c>
      <c r="P8" s="0" t="inlineStr">
        <is>
          <t>140000_12</t>
        </is>
      </c>
      <c r="Q8" s="0" t="n">
        <v>13443</v>
      </c>
    </row>
    <row r="9" ht="22.7" customHeight="1" s="89">
      <c r="B9" s="3" t="inlineStr">
        <is>
          <t>公司地址</t>
        </is>
      </c>
      <c r="C9" s="107" t="inlineStr">
        <is>
          <t>彰化縣員林市合作街37號3樓</t>
        </is>
      </c>
      <c r="D9" s="104" t="n"/>
      <c r="E9" s="104" t="n"/>
      <c r="F9" s="104" t="n"/>
      <c r="G9" s="104" t="n"/>
      <c r="H9" s="104" t="n"/>
      <c r="I9" s="104" t="n"/>
      <c r="J9" s="104" t="n"/>
      <c r="K9" s="106" t="n"/>
    </row>
    <row r="10" ht="22.7" customHeight="1" s="89">
      <c r="B10" s="3" t="inlineStr">
        <is>
          <t>公司名稱</t>
        </is>
      </c>
      <c r="C10" s="39" t="inlineStr">
        <is>
          <t>佑帷有限公司</t>
        </is>
      </c>
      <c r="D10" s="104" t="n"/>
      <c r="E10" s="99" t="n"/>
      <c r="F10" s="4" t="inlineStr">
        <is>
          <t>電話</t>
        </is>
      </c>
      <c r="G10" s="39" t="inlineStr">
        <is>
          <t>048366414</t>
        </is>
      </c>
      <c r="H10" s="99" t="n"/>
      <c r="I10" s="4" t="inlineStr">
        <is>
          <t>分機</t>
        </is>
      </c>
      <c r="J10" s="108" t="n"/>
      <c r="K10" s="106" t="n"/>
    </row>
    <row r="11" ht="22.7" customHeight="1" s="89" thickBot="1">
      <c r="B11" s="6" t="inlineStr">
        <is>
          <t>職稱</t>
        </is>
      </c>
      <c r="C11" s="24" t="inlineStr">
        <is>
          <t>業務助理</t>
        </is>
      </c>
      <c r="D11" s="7" t="inlineStr">
        <is>
          <t>月薪</t>
        </is>
      </c>
      <c r="E11" s="109" t="n">
        <v>35000</v>
      </c>
      <c r="F11" s="7" t="inlineStr">
        <is>
          <t>年資</t>
        </is>
      </c>
      <c r="G11" s="110" t="n">
        <v>15</v>
      </c>
      <c r="H11" s="87" t="inlineStr">
        <is>
          <t>年</t>
        </is>
      </c>
      <c r="I11" s="111" t="n">
        <v>5</v>
      </c>
      <c r="J11" s="88" t="inlineStr">
        <is>
          <t>月</t>
        </is>
      </c>
      <c r="K11" s="112" t="n"/>
    </row>
    <row r="12" ht="26.45" customHeight="1" s="89" thickBot="1" thickTop="1">
      <c r="B12" s="113" t="inlineStr">
        <is>
          <t>保證人資料</t>
        </is>
      </c>
      <c r="C12" s="92" t="n"/>
      <c r="D12" s="92" t="n"/>
      <c r="E12" s="92" t="n"/>
      <c r="F12" s="92" t="n"/>
      <c r="G12" s="92" t="n"/>
      <c r="H12" s="92" t="n"/>
      <c r="I12" s="92" t="n"/>
      <c r="J12" s="92" t="n"/>
      <c r="K12" s="93" t="n"/>
    </row>
    <row r="13" ht="22.7" customHeight="1" s="89" thickTop="1">
      <c r="B13" s="9" t="inlineStr">
        <is>
          <t>姓名</t>
        </is>
      </c>
      <c r="C13" s="83" t="n"/>
      <c r="D13" s="10" t="inlineStr">
        <is>
          <t>身份證字號</t>
        </is>
      </c>
      <c r="E13" s="83" t="n"/>
      <c r="F13" s="114" t="inlineStr">
        <is>
          <t>行動電話</t>
        </is>
      </c>
      <c r="G13" s="96" t="n"/>
      <c r="H13" s="83" t="n"/>
      <c r="I13" s="95" t="n"/>
      <c r="J13" s="11" t="inlineStr">
        <is>
          <t>關係</t>
        </is>
      </c>
      <c r="K13" s="26" t="n"/>
    </row>
    <row r="14" ht="22.7" customHeight="1" s="89">
      <c r="B14" s="12" t="inlineStr">
        <is>
          <t>出生日期</t>
        </is>
      </c>
      <c r="C14" s="67" t="n"/>
      <c r="D14" s="11" t="inlineStr">
        <is>
          <t>發證日期</t>
        </is>
      </c>
      <c r="E14" s="67" t="n"/>
      <c r="F14" s="67" t="inlineStr">
        <is>
          <t>屏縣</t>
        </is>
      </c>
      <c r="G14" s="67" t="n"/>
      <c r="H14" s="115" t="inlineStr">
        <is>
          <t>現住電話</t>
        </is>
      </c>
      <c r="I14" s="98" t="n"/>
      <c r="J14" s="67" t="n"/>
      <c r="K14" s="99" t="n"/>
    </row>
    <row r="15" ht="22.7" customHeight="1" s="89">
      <c r="B15" s="12" t="inlineStr">
        <is>
          <t>戶籍地址</t>
        </is>
      </c>
      <c r="C15" s="116" t="n"/>
      <c r="D15" s="104" t="n"/>
      <c r="E15" s="104" t="n"/>
      <c r="F15" s="104" t="n"/>
      <c r="G15" s="104" t="n"/>
      <c r="H15" s="104" t="n"/>
      <c r="I15" s="104" t="n"/>
      <c r="J15" s="104" t="n"/>
      <c r="K15" s="106" t="n"/>
    </row>
    <row r="16" ht="22.7" customHeight="1" s="89" thickBot="1">
      <c r="B16" s="12" t="inlineStr">
        <is>
          <t>公司名稱</t>
        </is>
      </c>
      <c r="C16" s="67" t="n"/>
      <c r="D16" s="104" t="n"/>
      <c r="E16" s="99" t="n"/>
      <c r="F16" s="13" t="inlineStr">
        <is>
          <t>電話</t>
        </is>
      </c>
      <c r="G16" s="67" t="n"/>
      <c r="H16" s="99" t="n"/>
      <c r="I16" s="13" t="inlineStr">
        <is>
          <t>分機</t>
        </is>
      </c>
      <c r="J16" s="108" t="n"/>
      <c r="K16" s="106" t="n"/>
    </row>
    <row r="17" ht="26.45" customHeight="1" s="89" thickBot="1" thickTop="1">
      <c r="B17" s="117" t="inlineStr">
        <is>
          <t>聯絡人資料(基本要填寫1二等親+1友)</t>
        </is>
      </c>
      <c r="C17" s="92" t="n"/>
      <c r="D17" s="92" t="n"/>
      <c r="E17" s="92" t="n"/>
      <c r="F17" s="92" t="n"/>
      <c r="G17" s="92" t="n"/>
      <c r="H17" s="92" t="n"/>
      <c r="I17" s="92" t="n"/>
      <c r="J17" s="92" t="n"/>
      <c r="K17" s="93" t="n"/>
    </row>
    <row r="18" ht="23.25" customHeight="1" s="89" thickBot="1" thickTop="1">
      <c r="B18" s="14" t="inlineStr">
        <is>
          <t>姓名</t>
        </is>
      </c>
      <c r="C18" s="29" t="inlineStr">
        <is>
          <t>張雲翔</t>
        </is>
      </c>
      <c r="D18" s="15" t="inlineStr">
        <is>
          <t>關係</t>
        </is>
      </c>
      <c r="E18" s="29" t="inlineStr">
        <is>
          <t>配偶</t>
        </is>
      </c>
      <c r="F18" s="118" t="inlineStr">
        <is>
          <t>行動電話</t>
        </is>
      </c>
      <c r="G18" s="119" t="n"/>
      <c r="H18" s="120" t="inlineStr">
        <is>
          <t>0910706827</t>
        </is>
      </c>
      <c r="I18" s="121" t="n"/>
      <c r="J18" s="121" t="n"/>
      <c r="K18" s="122" t="n"/>
    </row>
    <row r="19" ht="23.25" customHeight="1" s="89" thickBot="1" thickTop="1">
      <c r="B19" s="14" t="inlineStr">
        <is>
          <t>姓名</t>
        </is>
      </c>
      <c r="C19" s="29" t="inlineStr">
        <is>
          <t>張玉青</t>
        </is>
      </c>
      <c r="D19" s="15" t="inlineStr">
        <is>
          <t>關係</t>
        </is>
      </c>
      <c r="E19" s="29" t="inlineStr">
        <is>
          <t>朋友</t>
        </is>
      </c>
      <c r="F19" s="118" t="inlineStr">
        <is>
          <t>行動電話</t>
        </is>
      </c>
      <c r="G19" s="119" t="n"/>
      <c r="H19" s="120" t="inlineStr">
        <is>
          <t>0900758586</t>
        </is>
      </c>
      <c r="I19" s="121" t="n"/>
      <c r="J19" s="121" t="n"/>
      <c r="K19" s="122" t="n"/>
    </row>
    <row r="20" ht="23.25" customHeight="1" s="89" thickBot="1" thickTop="1">
      <c r="B20" s="14" t="inlineStr">
        <is>
          <t>姓名</t>
        </is>
      </c>
      <c r="C20" s="28" t="n"/>
      <c r="D20" s="15" t="inlineStr">
        <is>
          <t>關係</t>
        </is>
      </c>
      <c r="E20" s="28" t="n"/>
      <c r="F20" s="118" t="inlineStr">
        <is>
          <t>行動電話</t>
        </is>
      </c>
      <c r="G20" s="119" t="n"/>
      <c r="H20" s="123" t="n"/>
      <c r="I20" s="121" t="n"/>
      <c r="J20" s="121" t="n"/>
      <c r="K20" s="122" t="n"/>
    </row>
    <row r="21" ht="17.25" customHeight="1" s="89" thickTop="1"/>
    <row r="22">
      <c r="B22" s="16" t="inlineStr">
        <is>
          <t>色塊說明：</t>
        </is>
      </c>
      <c r="C22" s="17" t="n"/>
      <c r="D22" s="0" t="inlineStr">
        <is>
          <t>必填欄位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67ZlUR10TMLDTwijNa2GMw==" formatRows="1" sort="1" spinCount="100000" hashValue="MHr0Vx3b4BU5McJ7VRZd352fmcUnHaUTHFholkPM7UJbgcXTlPUo3T2Wz5OAvusVKncUIo8lrQtYeW5+g1x4fA=="/>
  <mergeCells count="37">
    <mergeCell ref="C16:E16"/>
    <mergeCell ref="J5:K5"/>
    <mergeCell ref="J14:K14"/>
    <mergeCell ref="F19:G19"/>
    <mergeCell ref="J10:K10"/>
    <mergeCell ref="C9:K9"/>
    <mergeCell ref="H4:I4"/>
    <mergeCell ref="H18:K18"/>
    <mergeCell ref="H6:I6"/>
    <mergeCell ref="J6:K6"/>
    <mergeCell ref="G10:H10"/>
    <mergeCell ref="F20:G20"/>
    <mergeCell ref="F18:G18"/>
    <mergeCell ref="H20:K20"/>
    <mergeCell ref="B3:K3"/>
    <mergeCell ref="J4:K4"/>
    <mergeCell ref="J11:K11"/>
    <mergeCell ref="J16:K16"/>
    <mergeCell ref="H7:I7"/>
    <mergeCell ref="J7:K7"/>
    <mergeCell ref="B12:K12"/>
    <mergeCell ref="F13:G13"/>
    <mergeCell ref="B2:K2"/>
    <mergeCell ref="H13:I13"/>
    <mergeCell ref="C8:G8"/>
    <mergeCell ref="H14:I14"/>
    <mergeCell ref="C15:K15"/>
    <mergeCell ref="C7:G7"/>
    <mergeCell ref="B1:K1"/>
    <mergeCell ref="G16:H16"/>
    <mergeCell ref="B17:K17"/>
    <mergeCell ref="H5:I5"/>
    <mergeCell ref="E4:G4"/>
    <mergeCell ref="H8:I8"/>
    <mergeCell ref="J8:K8"/>
    <mergeCell ref="H19:K19"/>
    <mergeCell ref="C10:E10"/>
  </mergeCells>
  <conditionalFormatting sqref="C13">
    <cfRule type="expression" priority="1" dxfId="0">
      <formula>"Rane(C12).Value&lt;&gt;"""""</formula>
    </cfRule>
  </conditionalFormatting>
  <conditionalFormatting sqref="C14:C15 E13:E14 F14:G14 H13 J14 K13">
    <cfRule type="expression" priority="2" dxfId="0">
      <formula>"C12&lt;&gt;"""""</formula>
    </cfRule>
  </conditionalFormatting>
  <dataValidations count="4">
    <dataValidation sqref="E6" showDropDown="0" showInputMessage="1" showErrorMessage="1" allowBlank="1" type="list">
      <formula1>"8,10,12,18,24,30,36"</formula1>
    </dataValidation>
    <dataValidation sqref="C6" showDropDown="0" showInputMessage="1" showErrorMessage="1" allowBlank="1" type="list">
      <formula1>"60000,70000,80000,90000,100000,110000,120000,130000,140000,150000"</formula1>
    </dataValidation>
    <dataValidation sqref="F5 F14" showDropDown="0" showInputMessage="1" showErrorMessage="1" allowBlank="1" type="list">
      <formula1>"北市,新北市,北縣,基市,宜縣,桃市,桃縣,竹市,竹縣,苗縣,中市,中縣,嘉市,彰縣,投縣,雲縣,嘉縣,南市,南縣,高市,高縣,屏縣,東縣,花縣,澎縣,連江,金門"</formula1>
    </dataValidation>
    <dataValidation sqref="G5 G14" showDropDown="0" showInputMessage="1" showErrorMessage="1" allowBlank="1" type="list">
      <formula1>"初發,換發,補發"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第一資融陳昕偉</dc:creator>
  <dcterms:created xsi:type="dcterms:W3CDTF">2024-08-22T06:36:30Z</dcterms:created>
  <dcterms:modified xsi:type="dcterms:W3CDTF">2026-04-06T15:52:45Z</dcterms:modified>
  <cp:lastModifiedBy>郁晴 邱</cp:lastModifiedBy>
</cp:coreProperties>
</file>